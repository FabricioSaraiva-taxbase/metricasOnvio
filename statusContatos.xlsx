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User\Desktop\Metricas ONVIO\"/>
    </mc:Choice>
  </mc:AlternateContent>
  <xr:revisionPtr revIDLastSave="0" documentId="13_ncr:1_{271FB284-77D6-40C3-B880-E041083FF3CE}" xr6:coauthVersionLast="47" xr6:coauthVersionMax="47" xr10:uidLastSave="{00000000-0000-0000-0000-000000000000}"/>
  <bookViews>
    <workbookView xWindow="-120" yWindow="-120" windowWidth="29040" windowHeight="15720" xr2:uid="{CA53CBD0-0D8B-44EA-A1F5-7DA3D74B296F}"/>
  </bookViews>
  <sheets>
    <sheet name="Planilha1" sheetId="1" r:id="rId1"/>
    <sheet name="EVANDRO" sheetId="4" r:id="rId2"/>
    <sheet name="OFICIAL FARMA" sheetId="3" r:id="rId3"/>
    <sheet name="JCF" sheetId="2" r:id="rId4"/>
    <sheet name="ASTRO" sheetId="6" r:id="rId5"/>
  </sheets>
  <definedNames>
    <definedName name="_xlnm._FilterDatabase" localSheetId="4" hidden="1">ASTRO!$A$2:$A$11</definedName>
    <definedName name="_xlnm._FilterDatabase" localSheetId="1" hidden="1">EVANDRO!$A$2:$A$10</definedName>
    <definedName name="_xlnm._FilterDatabase" localSheetId="3" hidden="1">JCF!$A$3:$A$25</definedName>
    <definedName name="_xlnm._FilterDatabase" localSheetId="0" hidden="1">Planilha1!$A$1:$G$267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1" l="1"/>
  <c r="I5" i="1" s="1"/>
  <c r="J5" i="1" s="1"/>
  <c r="I9" i="1" l="1"/>
  <c r="J9" i="1" s="1"/>
  <c r="I10" i="1"/>
  <c r="J10" i="1" s="1"/>
  <c r="I3" i="1"/>
  <c r="I8" i="1"/>
  <c r="J8" i="1" s="1"/>
  <c r="I4" i="1"/>
  <c r="J4" i="1" s="1"/>
  <c r="I7" i="1"/>
  <c r="I6" i="1"/>
  <c r="J6" i="1" s="1"/>
  <c r="I12" i="1" l="1"/>
  <c r="J12" i="1" s="1"/>
  <c r="J7" i="1"/>
  <c r="J3" i="1"/>
  <c r="I13" i="1"/>
  <c r="J13" i="1" s="1"/>
</calcChain>
</file>

<file path=xl/sharedStrings.xml><?xml version="1.0" encoding="utf-8"?>
<sst xmlns="http://schemas.openxmlformats.org/spreadsheetml/2006/main" count="1408" uniqueCount="730">
  <si>
    <t>Nome do Contato</t>
  </si>
  <si>
    <t>Telefone</t>
  </si>
  <si>
    <t>Status</t>
  </si>
  <si>
    <t>5511978030472</t>
  </si>
  <si>
    <t>+55 11 97803-0472</t>
  </si>
  <si>
    <t>5514997179861</t>
  </si>
  <si>
    <t>+55 14 99717-9861</t>
  </si>
  <si>
    <t xml:space="preserve">551938863028
</t>
  </si>
  <si>
    <t>+55 19 3886-3028</t>
  </si>
  <si>
    <t xml:space="preserve">5545991333217
</t>
  </si>
  <si>
    <t>+55 45 99133-3217</t>
  </si>
  <si>
    <t xml:space="preserve">555540072536
</t>
  </si>
  <si>
    <t>+55 55 4007-2536</t>
  </si>
  <si>
    <t xml:space="preserve">5585988015939
</t>
  </si>
  <si>
    <t>+55 85 98801-5939</t>
  </si>
  <si>
    <t>APAGAR</t>
  </si>
  <si>
    <t>+55 119743868889</t>
  </si>
  <si>
    <t>ASTRO 34</t>
  </si>
  <si>
    <t>+55 11 97351-6525</t>
  </si>
  <si>
    <t>Adriana Gavlik</t>
  </si>
  <si>
    <t>+55 45 99944-0026</t>
  </si>
  <si>
    <t>Cadastrado</t>
  </si>
  <si>
    <t>Adriana LA TRATORIA</t>
  </si>
  <si>
    <t>+55 11 97621-3443</t>
  </si>
  <si>
    <t>Amanda (SafetyMed)</t>
  </si>
  <si>
    <t>+55 21 97494-1655</t>
  </si>
  <si>
    <t>Amanda - Mentes Milionarias</t>
  </si>
  <si>
    <t xml:space="preserve"> +55 11 96279-2313</t>
  </si>
  <si>
    <t>Ana (Business - Dona)</t>
  </si>
  <si>
    <t>+86 136 2579 6387</t>
  </si>
  <si>
    <t>+55 81 98826-8552</t>
  </si>
  <si>
    <t>Ana Nunes</t>
  </si>
  <si>
    <t>+55 11 98834-3663</t>
  </si>
  <si>
    <t>Ana Terra - Cont Anterior</t>
  </si>
  <si>
    <t>Andrea (Embamac)</t>
  </si>
  <si>
    <t>+55 14 98139-0921</t>
  </si>
  <si>
    <t>Andrea Gaoseg</t>
  </si>
  <si>
    <t>+55 14 99736-5761</t>
  </si>
  <si>
    <t>Andreia Simao</t>
  </si>
  <si>
    <t>+55 11 97496-9031</t>
  </si>
  <si>
    <t>Angela</t>
  </si>
  <si>
    <t>+55 11 98858-4907</t>
  </si>
  <si>
    <t>Angelica (Sócia Bundchen)</t>
  </si>
  <si>
    <t>+55 53 99963-2438</t>
  </si>
  <si>
    <t>Apthus Cont. antiga do Grupo EVANDRO</t>
  </si>
  <si>
    <t>+55 45 99133-5888</t>
  </si>
  <si>
    <t>Astro34 - Lucimar (compras)</t>
  </si>
  <si>
    <t>+55 11 94467-7687</t>
  </si>
  <si>
    <t>Barbara - Mentes Milionarias</t>
  </si>
  <si>
    <t>+55 11 94626-6575</t>
  </si>
  <si>
    <t>Beatriz</t>
  </si>
  <si>
    <t>+55 19 99848-7672</t>
  </si>
  <si>
    <t>Beraldo (Contador Ant. Silver)</t>
  </si>
  <si>
    <t>+55 16 3209-1065</t>
  </si>
  <si>
    <t xml:space="preserve">Beth - Contabilidade estilo Corretora
</t>
  </si>
  <si>
    <t>+55 11 98245-1152</t>
  </si>
  <si>
    <t>Bianca (Grupo Ciclomade)</t>
  </si>
  <si>
    <t>+55 16 98160-3872</t>
  </si>
  <si>
    <t>Bianca Gonçalves</t>
  </si>
  <si>
    <t>+55 19 99121-9081</t>
  </si>
  <si>
    <t>Brooksfield Jr</t>
  </si>
  <si>
    <t>+55 11 99114-1912</t>
  </si>
  <si>
    <t>Bruno - CARGO - CHINA</t>
  </si>
  <si>
    <t>+55 11 91647-0010</t>
  </si>
  <si>
    <t xml:space="preserve">Bruno - financeiro ELTEXS
</t>
  </si>
  <si>
    <t>+55 13 97403-6168</t>
  </si>
  <si>
    <t>Bundchen Veterinária</t>
  </si>
  <si>
    <t>+55 51 3034-6277</t>
  </si>
  <si>
    <t>CMSI - Henrique Cesar</t>
  </si>
  <si>
    <t>+55 16 99732-4538</t>
  </si>
  <si>
    <t>Carolina L'Essence</t>
  </si>
  <si>
    <t>+55 11 97624-1816</t>
  </si>
  <si>
    <t>Carollina (Benvenuti)</t>
  </si>
  <si>
    <t>+55 45 99133-3207</t>
  </si>
  <si>
    <t>Christi - Escola Realiza</t>
  </si>
  <si>
    <t>+55 62 99107-1811</t>
  </si>
  <si>
    <t>Christi Pessoal - Escola Realiza</t>
  </si>
  <si>
    <t>+55 62 99325-9763</t>
  </si>
  <si>
    <t>Cintia G</t>
  </si>
  <si>
    <t>+55 11 94041-2023</t>
  </si>
  <si>
    <t>Claudia (Grupo Jogê )</t>
  </si>
  <si>
    <t>+55 11 94523-1714</t>
  </si>
  <si>
    <t>Cleiton 😴😴 Augecon</t>
  </si>
  <si>
    <t>5511942112261</t>
  </si>
  <si>
    <t>Clovis OF</t>
  </si>
  <si>
    <t>+5511976163753</t>
  </si>
  <si>
    <t>Cont Ant AP Natura (Davison)</t>
  </si>
  <si>
    <t>+5511913580963</t>
  </si>
  <si>
    <t>Cont Anterior - BRACHI</t>
  </si>
  <si>
    <t>+5547997709663</t>
  </si>
  <si>
    <t>Cont. anterior Onofruti</t>
  </si>
  <si>
    <t>+5511976484394</t>
  </si>
  <si>
    <t>Contabilidade Gavlik Josi</t>
  </si>
  <si>
    <t>+5545998160883</t>
  </si>
  <si>
    <t xml:space="preserve">Contador Ant Casa de Gesso </t>
  </si>
  <si>
    <t>+5511976886592</t>
  </si>
  <si>
    <t>Contador antigo Tamany</t>
  </si>
  <si>
    <t>+551147511375</t>
  </si>
  <si>
    <t>Cristina (Xalé Grill)</t>
  </si>
  <si>
    <t>+5524998119472</t>
  </si>
  <si>
    <t>DR. PAULO</t>
  </si>
  <si>
    <t>+55119993858823</t>
  </si>
  <si>
    <t>Dani</t>
  </si>
  <si>
    <t>+5511992981083</t>
  </si>
  <si>
    <t>Dani (Taxbase)</t>
  </si>
  <si>
    <t>+5511930484228</t>
  </si>
  <si>
    <t>Daniel</t>
  </si>
  <si>
    <t>+5511999712738</t>
  </si>
  <si>
    <t>Daniel Financeiro - AF</t>
  </si>
  <si>
    <t>+5511943023003</t>
  </si>
  <si>
    <t>Daniel MY BAKER</t>
  </si>
  <si>
    <t>+5511983709366</t>
  </si>
  <si>
    <t>Danielly - Sicoob Pro</t>
  </si>
  <si>
    <t>+5516997833004</t>
  </si>
  <si>
    <t>Dany - AVANTE</t>
  </si>
  <si>
    <t>+5511983357258</t>
  </si>
  <si>
    <t>Davison - Los Chefes</t>
  </si>
  <si>
    <t>+5511980481961</t>
  </si>
  <si>
    <t>Deivid Soeiro</t>
  </si>
  <si>
    <t>+5527992891241</t>
  </si>
  <si>
    <t>Denis (CAMPOS COMERCIO)</t>
  </si>
  <si>
    <t>+5511930129235</t>
  </si>
  <si>
    <t>Diego NFE Rosela</t>
  </si>
  <si>
    <t>+5513996539078</t>
  </si>
  <si>
    <t>Eber - Sistema da Baker</t>
  </si>
  <si>
    <t>+5511994912148</t>
  </si>
  <si>
    <t>Elisa (Grupo Jogê)</t>
  </si>
  <si>
    <t>+5511959776291</t>
  </si>
  <si>
    <t>+5519982290741</t>
  </si>
  <si>
    <t>Eliá (Monteiro)</t>
  </si>
  <si>
    <t>+5511979662616</t>
  </si>
  <si>
    <t>Emerson Jr</t>
  </si>
  <si>
    <t>+5589999847351</t>
  </si>
  <si>
    <t xml:space="preserve">Emiliano Spyer Drakos </t>
  </si>
  <si>
    <t>+5511950652388</t>
  </si>
  <si>
    <t>Enoque (Cont Ant Benvenuti)</t>
  </si>
  <si>
    <t>+5545991544580</t>
  </si>
  <si>
    <t>Erica Soares (Jogê)</t>
  </si>
  <si>
    <t>+5511952480061</t>
  </si>
  <si>
    <t>Estephany</t>
  </si>
  <si>
    <t>+5511976275861</t>
  </si>
  <si>
    <t>Eval (Cont Ant GPG Construtora)</t>
  </si>
  <si>
    <t>+5511980802805</t>
  </si>
  <si>
    <t>Everton GAOSEG</t>
  </si>
  <si>
    <t>+5511987731202</t>
  </si>
  <si>
    <t>Ewerton (Grupo Techposto)</t>
  </si>
  <si>
    <t>+5511915839446</t>
  </si>
  <si>
    <t>Ex contador THE BAKER</t>
  </si>
  <si>
    <t>+551138320008</t>
  </si>
  <si>
    <t>FJA Seguros e planos de saúde.</t>
  </si>
  <si>
    <t>+5511946827849</t>
  </si>
  <si>
    <t>Fabio (Movare)</t>
  </si>
  <si>
    <t>+5518997513593</t>
  </si>
  <si>
    <t>Fabio ICX Labs</t>
  </si>
  <si>
    <t>+5511943205626</t>
  </si>
  <si>
    <t>Fabricio (Grupo TJ Transportes)</t>
  </si>
  <si>
    <t>+5511977561018</t>
  </si>
  <si>
    <t>Felipe (TI)</t>
  </si>
  <si>
    <t>+5511990242106</t>
  </si>
  <si>
    <t>Felipe Almeida Santos</t>
  </si>
  <si>
    <t>+5519984281571</t>
  </si>
  <si>
    <t>Fernanda (Anna Terra)</t>
  </si>
  <si>
    <t>+5519999469102</t>
  </si>
  <si>
    <t>Fernanda - Oficial Farma</t>
  </si>
  <si>
    <t>+5511974257597</t>
  </si>
  <si>
    <t>Fernanda LOUNGE HAIR</t>
  </si>
  <si>
    <t>+5511950505098</t>
  </si>
  <si>
    <t>Fernando Sistema</t>
  </si>
  <si>
    <t>+5511971421566</t>
  </si>
  <si>
    <t>Financeiro - (Infinite Móveis)</t>
  </si>
  <si>
    <t>+5511944626829</t>
  </si>
  <si>
    <t>Gabriel (Metalúrgica Porto)</t>
  </si>
  <si>
    <t>+5577999740692</t>
  </si>
  <si>
    <t>Gabriel - Exraven</t>
  </si>
  <si>
    <t>+5515991533285</t>
  </si>
  <si>
    <t>Geovana - Enfase</t>
  </si>
  <si>
    <t>+5516992182303</t>
  </si>
  <si>
    <t>Geovanna - Grupo Evandro</t>
  </si>
  <si>
    <t>+5511963148096</t>
  </si>
  <si>
    <t>+5511951639771</t>
  </si>
  <si>
    <t>Gerson Bronze Gerson)</t>
  </si>
  <si>
    <t>+5511996664915</t>
  </si>
  <si>
    <t>Gisele (Ecologica)</t>
  </si>
  <si>
    <t>+5516992161426</t>
  </si>
  <si>
    <t>Gisele (Taxbase)</t>
  </si>
  <si>
    <t>+5511940080938</t>
  </si>
  <si>
    <t>Gisele - CARGO BOOKING</t>
  </si>
  <si>
    <t>+5511956101236</t>
  </si>
  <si>
    <t>Gislaine - Financeiro (GRUPO BENVENUTI)</t>
  </si>
  <si>
    <t>+5545988041579</t>
  </si>
  <si>
    <t>Giuliano Passini</t>
  </si>
  <si>
    <t>+5511983850550</t>
  </si>
  <si>
    <t>Guga Nunes</t>
  </si>
  <si>
    <t>+5511999730311</t>
  </si>
  <si>
    <t>Guilherme - BRACHI / NEXUS</t>
  </si>
  <si>
    <t>+5511975750993</t>
  </si>
  <si>
    <t>Guilherme - GH FONTES</t>
  </si>
  <si>
    <t>+5519995643593</t>
  </si>
  <si>
    <t>Gustavo (Estilo Corretora)</t>
  </si>
  <si>
    <t>+5511938015378</t>
  </si>
  <si>
    <t>Hamilton - RJ</t>
  </si>
  <si>
    <t>+5521965533990</t>
  </si>
  <si>
    <t>Helder (Infinite Móveis)</t>
  </si>
  <si>
    <t>+5511932706052</t>
  </si>
  <si>
    <t>Helija (Contador Ant. Stilus)</t>
  </si>
  <si>
    <t>+5516999910661</t>
  </si>
  <si>
    <t>Infinite Móveis - Contador Anterior</t>
  </si>
  <si>
    <t>+551147544424</t>
  </si>
  <si>
    <t>Isabel</t>
  </si>
  <si>
    <t>+5511964482509</t>
  </si>
  <si>
    <t>Ismã (Grupo GNC)</t>
  </si>
  <si>
    <t>+5511998555548</t>
  </si>
  <si>
    <t xml:space="preserve">Ivane Porto </t>
  </si>
  <si>
    <t>+5577999578645</t>
  </si>
  <si>
    <t>Janete (Cont Ant. Safetymed)</t>
  </si>
  <si>
    <t>+5521992968885</t>
  </si>
  <si>
    <t>Jean (Ciclomade)</t>
  </si>
  <si>
    <t>+5516997174748</t>
  </si>
  <si>
    <t>Jefferson GAOSEG</t>
  </si>
  <si>
    <t>+5511982701174</t>
  </si>
  <si>
    <t>Jonatas - Ciclomade/programador</t>
  </si>
  <si>
    <t>+5516996444812</t>
  </si>
  <si>
    <t>Jorge (Grupo Techposto)</t>
  </si>
  <si>
    <t>+5511986781634</t>
  </si>
  <si>
    <t>Josi - Xale Grill</t>
  </si>
  <si>
    <t>+5524992709538</t>
  </si>
  <si>
    <t>João Like</t>
  </si>
  <si>
    <t>+5511953055516</t>
  </si>
  <si>
    <t>João Victor (Esc. Ant. Xalé Grill)</t>
  </si>
  <si>
    <t>+5524999114236</t>
  </si>
  <si>
    <t>Juliana PF OF</t>
  </si>
  <si>
    <t>+5511993646363</t>
  </si>
  <si>
    <t>Julya Drakos</t>
  </si>
  <si>
    <t>+5511914783298</t>
  </si>
  <si>
    <t>Julya Ribeiro</t>
  </si>
  <si>
    <t>+5511962976991</t>
  </si>
  <si>
    <t>Junia Leal - Cont Ant Cross Clean</t>
  </si>
  <si>
    <t>+5519992413691</t>
  </si>
  <si>
    <t>Junior ITJ</t>
  </si>
  <si>
    <t>+5511994951835</t>
  </si>
  <si>
    <t>Junior cont. ant. Lilian Lilatur</t>
  </si>
  <si>
    <t>+5511974386889</t>
  </si>
  <si>
    <t xml:space="preserve">Jéssica  - Anna Terra </t>
  </si>
  <si>
    <t>+5519971469527</t>
  </si>
  <si>
    <t>Jéssica (Xalé Grill)</t>
  </si>
  <si>
    <t>+5524992049044</t>
  </si>
  <si>
    <t>Karina (Grupo TJ Transportes)</t>
  </si>
  <si>
    <t>+5511977561015</t>
  </si>
  <si>
    <t>Kassia (GLOBAL JET)</t>
  </si>
  <si>
    <t>+5511973646928</t>
  </si>
  <si>
    <t>Kathelen (Grupo OF - Fiscal)</t>
  </si>
  <si>
    <t>+5511961408354</t>
  </si>
  <si>
    <t>Katy Fagundes ✦</t>
  </si>
  <si>
    <t>+5511997821848</t>
  </si>
  <si>
    <t>Kelly (Cont Ant Studio Ranieli)</t>
  </si>
  <si>
    <t>+5515997528388</t>
  </si>
  <si>
    <t>Kelly - Rosela</t>
  </si>
  <si>
    <t>+5513974035886</t>
  </si>
  <si>
    <t>LILATUR Viagens Exclusivas</t>
  </si>
  <si>
    <t>+5511998261422</t>
  </si>
  <si>
    <t>Leandro (LSA Serviços)</t>
  </si>
  <si>
    <t>+5511996555406</t>
  </si>
  <si>
    <t>Leandro Eltexs</t>
  </si>
  <si>
    <t>+5513974088247</t>
  </si>
  <si>
    <t>Leticia - SKIN</t>
  </si>
  <si>
    <t>+5511976079039</t>
  </si>
  <si>
    <t>Letícia - ELTEX'S</t>
  </si>
  <si>
    <t>+5513981074543</t>
  </si>
  <si>
    <t>Luan (ASOS Telhas)</t>
  </si>
  <si>
    <t>+5519991758956</t>
  </si>
  <si>
    <t>Lucas - ANNA TERRA</t>
  </si>
  <si>
    <t>+5519995348587</t>
  </si>
  <si>
    <t>Luci - Petro Sapper</t>
  </si>
  <si>
    <t>+5511947857247</t>
  </si>
  <si>
    <t>Luciene (Frutas Pain)</t>
  </si>
  <si>
    <t>+5511968519029</t>
  </si>
  <si>
    <t>Lucimara GPG</t>
  </si>
  <si>
    <t>+5511958512270</t>
  </si>
  <si>
    <t>Luis (Bundchen Clínica Veterinária)</t>
  </si>
  <si>
    <t>+5551997771434</t>
  </si>
  <si>
    <t>Luis (Frutas Pain)</t>
  </si>
  <si>
    <t>+5511989990996</t>
  </si>
  <si>
    <t>Luis Diniz Contador</t>
  </si>
  <si>
    <t>+5519991142084</t>
  </si>
  <si>
    <t>Luis LGL</t>
  </si>
  <si>
    <t>+5511966257451</t>
  </si>
  <si>
    <t>Luis Taxbase</t>
  </si>
  <si>
    <t>+5511948527919</t>
  </si>
  <si>
    <t>Luis X Menu Groke (Xalé - sistemas)</t>
  </si>
  <si>
    <t>+5524981308330</t>
  </si>
  <si>
    <t>MARCELO SGG</t>
  </si>
  <si>
    <t>+5516999994088</t>
  </si>
  <si>
    <t>MARCUS JOGÊ</t>
  </si>
  <si>
    <t>+5551996365389</t>
  </si>
  <si>
    <t>Ma Tecnologias</t>
  </si>
  <si>
    <t>+5551995348054</t>
  </si>
  <si>
    <t>+5511993858823</t>
  </si>
  <si>
    <t>Maittê - WC Máquinas</t>
  </si>
  <si>
    <t>+5516997677788</t>
  </si>
  <si>
    <t>Mari (Grupo GNC)</t>
  </si>
  <si>
    <t>+5511995805545</t>
  </si>
  <si>
    <t>Maria das neves</t>
  </si>
  <si>
    <t>+5511981618852</t>
  </si>
  <si>
    <t>Mariana - Mentes Milionarias</t>
  </si>
  <si>
    <t>+5535988719245</t>
  </si>
  <si>
    <t>Marina - IBRASCAN</t>
  </si>
  <si>
    <t>+5547991607972</t>
  </si>
  <si>
    <t>Matheus MY BAKER</t>
  </si>
  <si>
    <t>+5511966936978</t>
  </si>
  <si>
    <t>Mauricio (Contador ant. Valen)</t>
  </si>
  <si>
    <t>+5511940599333</t>
  </si>
  <si>
    <t>Mauricio TENET</t>
  </si>
  <si>
    <t>+5511976386405</t>
  </si>
  <si>
    <t>Mayumi</t>
  </si>
  <si>
    <t>+5511974435181</t>
  </si>
  <si>
    <t>Metalúrgica Novo Tempo</t>
  </si>
  <si>
    <t>+5577998519398</t>
  </si>
  <si>
    <t>Miriam - BENVENUTI</t>
  </si>
  <si>
    <t>+554530366490</t>
  </si>
  <si>
    <t>Modelação Stilus</t>
  </si>
  <si>
    <t>+551632036601</t>
  </si>
  <si>
    <t>Modern (Cont ant Valen)</t>
  </si>
  <si>
    <t>+5511943020607</t>
  </si>
  <si>
    <t>Morgana (Central do MDF)</t>
  </si>
  <si>
    <t>+5519997558518</t>
  </si>
  <si>
    <t>Nathan (Valens)</t>
  </si>
  <si>
    <t>+5551980267661</t>
  </si>
  <si>
    <t>Nicole Admnistração</t>
  </si>
  <si>
    <t>+5551983522114</t>
  </si>
  <si>
    <t>Não identificado</t>
  </si>
  <si>
    <t>+5511994132514</t>
  </si>
  <si>
    <t>+5511948191601</t>
  </si>
  <si>
    <t>Osvaldo - Miroxis/Mirodi</t>
  </si>
  <si>
    <t>+5511981455660</t>
  </si>
  <si>
    <t>Osvaldo Onofruti</t>
  </si>
  <si>
    <t>+5511958490035</t>
  </si>
  <si>
    <t>Pam✨</t>
  </si>
  <si>
    <t>+5511997937906</t>
  </si>
  <si>
    <t>Patricia - Oasis Bedore</t>
  </si>
  <si>
    <t>+5516997519215</t>
  </si>
  <si>
    <t>Patrícia (Astro 34)</t>
  </si>
  <si>
    <t>+5511960570644</t>
  </si>
  <si>
    <t>Patrícia (Ormix)</t>
  </si>
  <si>
    <t>+5514981043896</t>
  </si>
  <si>
    <t>Paula - Etre</t>
  </si>
  <si>
    <t>+5511987361212</t>
  </si>
  <si>
    <t>Paula Cezar</t>
  </si>
  <si>
    <t>+5562984162471</t>
  </si>
  <si>
    <t>Paulo Onofrut</t>
  </si>
  <si>
    <t>+5511963320886</t>
  </si>
  <si>
    <t>Paulo S. Magalhães (Grupo Casa de Gesso)</t>
  </si>
  <si>
    <t>+5511973741352</t>
  </si>
  <si>
    <t>Pedro (Agro Bela Vista)</t>
  </si>
  <si>
    <t>+55119993304344</t>
  </si>
  <si>
    <t>Pedro (Grupo Massaru)</t>
  </si>
  <si>
    <t>+5511974696340</t>
  </si>
  <si>
    <t xml:space="preserve">Pedro Sá </t>
  </si>
  <si>
    <t>+5512997357799</t>
  </si>
  <si>
    <t>Poliana GAOSEG</t>
  </si>
  <si>
    <t>+5511949123057</t>
  </si>
  <si>
    <t>Pricila</t>
  </si>
  <si>
    <t>+5511996350733</t>
  </si>
  <si>
    <t>RENATO ALVES</t>
  </si>
  <si>
    <t>+5511952331758</t>
  </si>
  <si>
    <t>RH.TAMBRASIL</t>
  </si>
  <si>
    <t>+5511988583180</t>
  </si>
  <si>
    <t>RODRIGO ADV</t>
  </si>
  <si>
    <t>+5511976175587</t>
  </si>
  <si>
    <t>RUBENS (RESTORE)</t>
  </si>
  <si>
    <t>+5511983828770</t>
  </si>
  <si>
    <t>Rafael (SafetyMed)</t>
  </si>
  <si>
    <t>+5521996777894</t>
  </si>
  <si>
    <t>Rafael - ALTUS</t>
  </si>
  <si>
    <t>+5567991678716</t>
  </si>
  <si>
    <t>Rafael Carvalho</t>
  </si>
  <si>
    <t>+5514997543715</t>
  </si>
  <si>
    <t>Rafael Zanini</t>
  </si>
  <si>
    <t>+5511982413051</t>
  </si>
  <si>
    <t>Raniele (Studio Raniele)</t>
  </si>
  <si>
    <t>+5515998340561</t>
  </si>
  <si>
    <t>Raphael DSA (Grupo)</t>
  </si>
  <si>
    <t>+5511989094801</t>
  </si>
  <si>
    <t>Raquel Estilo Corretora</t>
  </si>
  <si>
    <t>+5511959466711</t>
  </si>
  <si>
    <t>Rejane - Miroxis e Mirodi</t>
  </si>
  <si>
    <t>+5511986899083</t>
  </si>
  <si>
    <t>Renata - STILUS</t>
  </si>
  <si>
    <t>+5516992274051</t>
  </si>
  <si>
    <t xml:space="preserve">Renata - Safetymed </t>
  </si>
  <si>
    <t>+5521997815354</t>
  </si>
  <si>
    <t>Renato Almeida</t>
  </si>
  <si>
    <t>+5511975632901</t>
  </si>
  <si>
    <t>Rh Cross Clean</t>
  </si>
  <si>
    <t>+5511976574728</t>
  </si>
  <si>
    <t>Ricardo (Astro 34)</t>
  </si>
  <si>
    <t>+5511955933176</t>
  </si>
  <si>
    <t>Roberta Silva</t>
  </si>
  <si>
    <t>+5511981481279</t>
  </si>
  <si>
    <t>Robson Cont. Ant GAOSEG e LOUGE HAIR</t>
  </si>
  <si>
    <t>+5511991383877</t>
  </si>
  <si>
    <t>Rodrigo CONEXÃO VIAGEM</t>
  </si>
  <si>
    <t>+5511951001507</t>
  </si>
  <si>
    <t>Rogerio (Rosela Fernandes)</t>
  </si>
  <si>
    <t>+5513974103018</t>
  </si>
  <si>
    <t>Rogerio - ASOS TELHAS</t>
  </si>
  <si>
    <t>+5519983667538</t>
  </si>
  <si>
    <t>Roni (Corelmaq)</t>
  </si>
  <si>
    <t>+5516993266161</t>
  </si>
  <si>
    <t>Rosana (Cont Ant Bundchen)</t>
  </si>
  <si>
    <t>+5551989185241</t>
  </si>
  <si>
    <t>SIMPLESVET</t>
  </si>
  <si>
    <t>+551150439915</t>
  </si>
  <si>
    <t>Samir (Xalé Grill)</t>
  </si>
  <si>
    <t>+5524992321402</t>
  </si>
  <si>
    <t>Sandra Gaoseg</t>
  </si>
  <si>
    <t>+5511987721638</t>
  </si>
  <si>
    <t>Severino - Fuentes</t>
  </si>
  <si>
    <t>+5511948057704</t>
  </si>
  <si>
    <t>Silver Weibull do Brasil</t>
  </si>
  <si>
    <t>+5516997922050</t>
  </si>
  <si>
    <t>Simone (Cartório)</t>
  </si>
  <si>
    <t>+5519984422856</t>
  </si>
  <si>
    <t>Sköll</t>
  </si>
  <si>
    <t>+5511999000189</t>
  </si>
  <si>
    <t>Soraya Saab</t>
  </si>
  <si>
    <t>+5512997482777</t>
  </si>
  <si>
    <t>SorvFood’s RH</t>
  </si>
  <si>
    <t>+5519991664571</t>
  </si>
  <si>
    <t>Stéfany Honorato</t>
  </si>
  <si>
    <t>+5524999390858</t>
  </si>
  <si>
    <t>Suellen (Valens)</t>
  </si>
  <si>
    <t>+5551995555166</t>
  </si>
  <si>
    <t>Talita (GPG Construtora)</t>
  </si>
  <si>
    <t>+5511950221654</t>
  </si>
  <si>
    <t>Talita - ART MUSEU FERRAGENS</t>
  </si>
  <si>
    <t>+5516999939020</t>
  </si>
  <si>
    <t>Tamany Ibrasil</t>
  </si>
  <si>
    <t>+5511996485330</t>
  </si>
  <si>
    <t>Tatiana - Grupo Evandro</t>
  </si>
  <si>
    <t>+5545988169540</t>
  </si>
  <si>
    <t>Tayná Carina</t>
  </si>
  <si>
    <t>+5511960413819</t>
  </si>
  <si>
    <t>Ted (My Baker)</t>
  </si>
  <si>
    <t>+5511982822332</t>
  </si>
  <si>
    <t>Teste Portal do Cliente</t>
  </si>
  <si>
    <t>+5511965805208</t>
  </si>
  <si>
    <t>Thais (Techposto)</t>
  </si>
  <si>
    <t>+5511956960919</t>
  </si>
  <si>
    <t>Thalia - J S Benvenuti</t>
  </si>
  <si>
    <t>+554531253310</t>
  </si>
  <si>
    <t>Thiago C6 Bank</t>
  </si>
  <si>
    <t>+5541996936127</t>
  </si>
  <si>
    <t>Tom (SGG)</t>
  </si>
  <si>
    <t>+5516992355693</t>
  </si>
  <si>
    <t>Tuta Aquino</t>
  </si>
  <si>
    <t>+5511991164884</t>
  </si>
  <si>
    <t>Uelton Sorvfoods</t>
  </si>
  <si>
    <t>+5519992916027</t>
  </si>
  <si>
    <t>VIVIANE - INFINITE IMOVEIS</t>
  </si>
  <si>
    <t>+5511989041605</t>
  </si>
  <si>
    <t>Vaii Participações</t>
  </si>
  <si>
    <t>+5511991977308</t>
  </si>
  <si>
    <t>Valentim Real Frutas</t>
  </si>
  <si>
    <t>+5511970414748</t>
  </si>
  <si>
    <t>Valéria</t>
  </si>
  <si>
    <t>+551156423534</t>
  </si>
  <si>
    <t>Valéria (My Baker)</t>
  </si>
  <si>
    <t>+5511947854645</t>
  </si>
  <si>
    <t>Vanessa (Movare)</t>
  </si>
  <si>
    <t>+5518996051206</t>
  </si>
  <si>
    <t>Vanessa BC</t>
  </si>
  <si>
    <t>+5511963628467</t>
  </si>
  <si>
    <t>Vanessa COMEX</t>
  </si>
  <si>
    <t>+5511984053157</t>
  </si>
  <si>
    <t>Veronice (Crossclean)</t>
  </si>
  <si>
    <t>+5511938003544</t>
  </si>
  <si>
    <t>Victor</t>
  </si>
  <si>
    <t>+5545999381793</t>
  </si>
  <si>
    <t>Victor - D N BENVENUTI</t>
  </si>
  <si>
    <t>+5545991020574</t>
  </si>
  <si>
    <t>Vinícius Eltexs</t>
  </si>
  <si>
    <t>+5513974142870</t>
  </si>
  <si>
    <t>Vitoria Benedito💖</t>
  </si>
  <si>
    <t>+5511953816163</t>
  </si>
  <si>
    <t>Viviane Vale (Financ Benvenuti)</t>
  </si>
  <si>
    <t>+5545999952538</t>
  </si>
  <si>
    <t>Wellington - STILUS</t>
  </si>
  <si>
    <t>+5516997558793</t>
  </si>
  <si>
    <t>Wesley - Onofruti</t>
  </si>
  <si>
    <t>+5511989152813</t>
  </si>
  <si>
    <t>Wilson (Grupo OF)</t>
  </si>
  <si>
    <t>+5511997004387</t>
  </si>
  <si>
    <t>Yass Santos</t>
  </si>
  <si>
    <t>+5511988086329</t>
  </si>
  <si>
    <t>Yuri Eltexs</t>
  </si>
  <si>
    <t>+5516981118211</t>
  </si>
  <si>
    <t>Yuri Pain</t>
  </si>
  <si>
    <t>+5511968558485</t>
  </si>
  <si>
    <t>apagar</t>
  </si>
  <si>
    <t>+55169992274051</t>
  </si>
  <si>
    <t>csouzavb</t>
  </si>
  <si>
    <t>+5511934733731</t>
  </si>
  <si>
    <t>sicoob4374 pa26</t>
  </si>
  <si>
    <t>+5515981550339</t>
  </si>
  <si>
    <t>ID CLIENTE</t>
  </si>
  <si>
    <t>161 162 163</t>
  </si>
  <si>
    <t>223 224 225</t>
  </si>
  <si>
    <t>Usuario inativo ou não registrado</t>
  </si>
  <si>
    <t>290 291 307</t>
  </si>
  <si>
    <t>Contato não cadastrado na empresa</t>
  </si>
  <si>
    <t>OBS</t>
  </si>
  <si>
    <t>335 341</t>
  </si>
  <si>
    <t>ID 245 identificado, nome do usuario não identificado</t>
  </si>
  <si>
    <t>229 230</t>
  </si>
  <si>
    <t>332 337</t>
  </si>
  <si>
    <t>243 256</t>
  </si>
  <si>
    <t>30 71</t>
  </si>
  <si>
    <t>279 280 281 282</t>
  </si>
  <si>
    <t>✔️</t>
  </si>
  <si>
    <t>Contato não cadastrado nos IDS 220, 221 e 222 | Cadastrado nos demais Ids</t>
  </si>
  <si>
    <t>erica soares jcf</t>
  </si>
  <si>
    <t>Contato cadastrado apenas no ID 177, nos demais, existe o contato 'Rafael e Elisa e Erica', que esta inativo</t>
  </si>
  <si>
    <t>Contato não cadastrado no ID 307 | Cadastrado em 290 e 291</t>
  </si>
  <si>
    <t>177 178 179 180 181 182 183 184 185 186 187 188 189 190 191 192 193 194 195 196 197 198 199 200 201 202 203 211 216 220 221 222 254 255</t>
  </si>
  <si>
    <t>Contato não cadastrado nos IDs 216, 222, 190, 187, 188, 189, 191, 192, 193, 194, 195, 211, 220 e 221 | Cadastrado nos demais IDs</t>
  </si>
  <si>
    <t>MATRIZ</t>
  </si>
  <si>
    <t>7 8 9 11 12 13 14 15 16 18 66</t>
  </si>
  <si>
    <t>ID Cliente</t>
  </si>
  <si>
    <t>Nome</t>
  </si>
  <si>
    <t>239 241</t>
  </si>
  <si>
    <t>234 235</t>
  </si>
  <si>
    <t>293 308 309</t>
  </si>
  <si>
    <t>354 355</t>
  </si>
  <si>
    <t>273 287</t>
  </si>
  <si>
    <t>126 127</t>
  </si>
  <si>
    <t>Não cadastrado na matriz (177), orientado a somente cadastrar na Matriz todos da JCF</t>
  </si>
  <si>
    <t>112 122</t>
  </si>
  <si>
    <t>Alane?</t>
  </si>
  <si>
    <t>100 101</t>
  </si>
  <si>
    <t>245 300</t>
  </si>
  <si>
    <t>20 45</t>
  </si>
  <si>
    <t>319 320 329</t>
  </si>
  <si>
    <t>MENTES MILIONARIAS</t>
  </si>
  <si>
    <t>238 240 244 247 249 250 251 252 253</t>
  </si>
  <si>
    <t>240 244 247 249 250 251 252 253</t>
  </si>
  <si>
    <t>Cadastrado apenas no ID 238</t>
  </si>
  <si>
    <t>Não cadastrado em nenhuma das empresas do grupo evandro</t>
  </si>
  <si>
    <t>Não cadastrado apenas no ID 238</t>
  </si>
  <si>
    <t>Inativo em 279 | Não cadastrado em 280, 281 e 282</t>
  </si>
  <si>
    <t>1 2 88</t>
  </si>
  <si>
    <t>Cliente não identificado</t>
  </si>
  <si>
    <t>TAXBASE</t>
  </si>
  <si>
    <t>176 236 268 270</t>
  </si>
  <si>
    <t>207 208</t>
  </si>
  <si>
    <t>356 359</t>
  </si>
  <si>
    <t>Email Temporario</t>
  </si>
  <si>
    <t>+55 19 3737-2522</t>
  </si>
  <si>
    <t>Estatisticas</t>
  </si>
  <si>
    <t>n</t>
  </si>
  <si>
    <t>Total de Contatos</t>
  </si>
  <si>
    <t>Cadastrado apenas no ID 117</t>
  </si>
  <si>
    <t>Seria a empresa ID 24? Não existe nenhum usuario cadastrado</t>
  </si>
  <si>
    <t>Seria a empresa ID 95? Não existe nenhum usuario cadastrado</t>
  </si>
  <si>
    <t>Falta</t>
  </si>
  <si>
    <t>Feitos</t>
  </si>
  <si>
    <t>Ana Lucia - SAFETYMED - PE</t>
  </si>
  <si>
    <t>+5581981113576</t>
  </si>
  <si>
    <t>não cadastrado</t>
  </si>
  <si>
    <t>pejin44828@elafans.com</t>
  </si>
  <si>
    <t>Temporaria2#</t>
  </si>
  <si>
    <t>Temporario</t>
  </si>
  <si>
    <t>Leandro ESTRATEGIA</t>
  </si>
  <si>
    <t>+5511965142901</t>
  </si>
  <si>
    <t>Camila Mariano (Gerente do Banco Embamac)</t>
  </si>
  <si>
    <t>+5514991788134</t>
  </si>
  <si>
    <t>Patricia - AVANTE CONSULTING</t>
  </si>
  <si>
    <t>+5511964310766</t>
  </si>
  <si>
    <t>Atendimento Gruber Contabilidade</t>
  </si>
  <si>
    <t>+554530965252</t>
  </si>
  <si>
    <t>DP SafetyMed RJ</t>
  </si>
  <si>
    <t>+5521964395397</t>
  </si>
  <si>
    <t>Márcia Patrícia A</t>
  </si>
  <si>
    <t>+5511917620996</t>
  </si>
  <si>
    <t xml:space="preserve">Jorge (Manuns) </t>
  </si>
  <si>
    <t>+5512997951956</t>
  </si>
  <si>
    <t>+5512999795195</t>
  </si>
  <si>
    <t xml:space="preserve">Lucinha (Manuns) </t>
  </si>
  <si>
    <t>+5512996201960</t>
  </si>
  <si>
    <t>Prefeitura Santos</t>
  </si>
  <si>
    <t>+5513996435630</t>
  </si>
  <si>
    <t>Joao Paulo Exraven</t>
  </si>
  <si>
    <t>+5515997043644</t>
  </si>
  <si>
    <t>Giovanna (Operação Concurso)</t>
  </si>
  <si>
    <t>+5511996831288</t>
  </si>
  <si>
    <t>IGNORAR</t>
  </si>
  <si>
    <t>27 78 84 94</t>
  </si>
  <si>
    <t>228 232</t>
  </si>
  <si>
    <t>Ana Ingrid - SAFETYMED</t>
  </si>
  <si>
    <t>Ex-Funcionaria TAXBASE</t>
  </si>
  <si>
    <t>151 152 261 262</t>
  </si>
  <si>
    <t>151 252 261 262</t>
  </si>
  <si>
    <t>Contato referente a cliente em comum (142), sem andamento</t>
  </si>
  <si>
    <t>Mensagem Promocional (SPAM)</t>
  </si>
  <si>
    <t>Geovanna Bataglia - Grupo EVANDRO</t>
  </si>
  <si>
    <t>Geovanna tem dois números, um está cadastrado no Onvio, mas este não.</t>
  </si>
  <si>
    <t>319 320 322</t>
  </si>
  <si>
    <t>205 206 209 210 361</t>
  </si>
  <si>
    <t>Nenhum contato cadastrado na 361 | Cadastrado em 205 206 209 210</t>
  </si>
  <si>
    <t>Foi iniciado contato com este a respeito do grupo GAOSEG, mas sem resposta</t>
  </si>
  <si>
    <t>Foi iniciado contato com este a respeito do grupo SAFETYMED, mas não representa o grupo</t>
  </si>
  <si>
    <t>Número pessoal, solicitou que o contato fosse feito pelo 55 51 3034-6277 (Veterinária Bundchen)</t>
  </si>
  <si>
    <t>(Erica da Tamany e Ibrasil)</t>
  </si>
  <si>
    <t>Contato referente a cliente em comum (Grupo MY BAKER), mas não representa o grupo</t>
  </si>
  <si>
    <t>Contato referente a cliente em comum (Studio Raniele), mas não representa o grupo</t>
  </si>
  <si>
    <t>Contato referente a cliente Xalé Grill, não ficou claro se representa o grupo</t>
  </si>
  <si>
    <t>DMA</t>
  </si>
  <si>
    <t>ASTRO34</t>
  </si>
  <si>
    <t>FUTURO RH</t>
  </si>
  <si>
    <t>APELIDO</t>
  </si>
  <si>
    <t>LILATUR</t>
  </si>
  <si>
    <t>LILIAN CRISTIANE CLA</t>
  </si>
  <si>
    <t>SPECTRAL ADVANCED</t>
  </si>
  <si>
    <t>SPECTRAL SOLUTIONS</t>
  </si>
  <si>
    <t>SPECTRAL SOLUTIONS 2</t>
  </si>
  <si>
    <t>SPECTRAL SOLUTIONS 3</t>
  </si>
  <si>
    <t>SPECTRAL VISION</t>
  </si>
  <si>
    <t>FASTCO</t>
  </si>
  <si>
    <t>301 302 312 313 314 315 316 317 318 331 352</t>
  </si>
  <si>
    <t>301 302 312 313 314 315 316 317 318</t>
  </si>
  <si>
    <t>Não cadastrado em 331 e 352</t>
  </si>
  <si>
    <t>302 352</t>
  </si>
  <si>
    <t>Não cadastrado em 301 312 313 314 315 316 317 318 331</t>
  </si>
  <si>
    <t>Willian | Cadastrado em 301 302 312 313 314 315 316 317 318 | Não cadastrado em 331 e 352</t>
  </si>
  <si>
    <t>Cadastrado em 301 302 312 313 314 315 316 317 318 | Não cadastrado em 331 e 352</t>
  </si>
  <si>
    <t>301 302 313 314 315 316 317 318 331 352</t>
  </si>
  <si>
    <t>Cadastrado em 302 352 | Não cadastrado em 301 312 313 314 315 316 317 318 331</t>
  </si>
  <si>
    <t>132 133 150 158</t>
  </si>
  <si>
    <t>Contato referente a cliente RESTORE, não ficou claro se representa o grupo</t>
  </si>
  <si>
    <t>243 256 369</t>
  </si>
  <si>
    <t>Não cadastrado no ID 256</t>
  </si>
  <si>
    <t>Victor tem dois números, o outro (+5545991020574) foi cadastrado</t>
  </si>
  <si>
    <t>21 117 118</t>
  </si>
  <si>
    <t>Contato referente a cliente EMBAMAC, não ficou claro se representa o grupo</t>
  </si>
  <si>
    <t>Contato referente a grupo BENVENUTI, não ficou claro se representa o grupo</t>
  </si>
  <si>
    <t>Contato referente a grupo MY BAKER, não ficou claro se representa o grupo</t>
  </si>
  <si>
    <t>NOME CLIENTE</t>
  </si>
  <si>
    <t>SORVFOODS</t>
  </si>
  <si>
    <t>EVANDRO</t>
  </si>
  <si>
    <t>SAFETYMED</t>
  </si>
  <si>
    <t>ASTRO</t>
  </si>
  <si>
    <t>ANNA TERRA</t>
  </si>
  <si>
    <t>BUNDCHEN VETERINARIA</t>
  </si>
  <si>
    <t>CICLOMADE</t>
  </si>
  <si>
    <t>JCF</t>
  </si>
  <si>
    <t>OFICIAL FARMA</t>
  </si>
  <si>
    <t>XALE GRILL</t>
  </si>
  <si>
    <t>ELTEX'S</t>
  </si>
  <si>
    <t>MY BAKER</t>
  </si>
  <si>
    <t>GAOSEG</t>
  </si>
  <si>
    <t>RESTORE</t>
  </si>
  <si>
    <t>TAXBASE INTERNO</t>
  </si>
  <si>
    <t>LA TRATTORIA</t>
  </si>
  <si>
    <t>EMBAMAC</t>
  </si>
  <si>
    <t>L'ESSENCE</t>
  </si>
  <si>
    <t>AF</t>
  </si>
  <si>
    <t>DRAKOS</t>
  </si>
  <si>
    <t>PORTO</t>
  </si>
  <si>
    <t>CARGO</t>
  </si>
  <si>
    <t>GRUPO</t>
  </si>
  <si>
    <t>ESTILO</t>
  </si>
  <si>
    <t>LOS CHEFES</t>
  </si>
  <si>
    <t>LOUNGE HAIR</t>
  </si>
  <si>
    <t>D CAMPOS</t>
  </si>
  <si>
    <t>VAII</t>
  </si>
  <si>
    <t>TECHPOSTO</t>
  </si>
  <si>
    <t>BENVENUTI</t>
  </si>
  <si>
    <t>JT</t>
  </si>
  <si>
    <t>MBA</t>
  </si>
  <si>
    <t>PJ OF</t>
  </si>
  <si>
    <t>INFINITE MOVEIS</t>
  </si>
  <si>
    <t>CENTERSYSTEM</t>
  </si>
  <si>
    <t>LSA</t>
  </si>
  <si>
    <t>A.S.O.S TELHAS</t>
  </si>
  <si>
    <t>PETRO</t>
  </si>
  <si>
    <t>PAIN</t>
  </si>
  <si>
    <t>MARIA</t>
  </si>
  <si>
    <t>MIROX</t>
  </si>
  <si>
    <t>ONOFRUTI</t>
  </si>
  <si>
    <t>OASIS</t>
  </si>
  <si>
    <t>REALIZA</t>
  </si>
  <si>
    <t>CASA DE GESSO</t>
  </si>
  <si>
    <t>DAS</t>
  </si>
  <si>
    <t>STILUS</t>
  </si>
  <si>
    <t>RENATO</t>
  </si>
  <si>
    <t>CONEXÃO</t>
  </si>
  <si>
    <t>ROSELA</t>
  </si>
  <si>
    <t>CORELMAQ</t>
  </si>
  <si>
    <t>LIBERTANGO</t>
  </si>
  <si>
    <t>VALENS</t>
  </si>
  <si>
    <t>SGG</t>
  </si>
  <si>
    <t>MOVARE</t>
  </si>
  <si>
    <t>ESTRATÉGIA</t>
  </si>
  <si>
    <t>IBRASIL</t>
  </si>
  <si>
    <t>KENAI</t>
  </si>
  <si>
    <t>SILVER</t>
  </si>
  <si>
    <t>BRACHI</t>
  </si>
  <si>
    <t>EXRAVEN</t>
  </si>
  <si>
    <t>CROSS</t>
  </si>
  <si>
    <t>GPG</t>
  </si>
  <si>
    <t>ICX</t>
  </si>
  <si>
    <t>JAH</t>
  </si>
  <si>
    <t>SKIN</t>
  </si>
  <si>
    <t>STUDIO RANIELE</t>
  </si>
  <si>
    <t>LGL</t>
  </si>
  <si>
    <t>TENET</t>
  </si>
  <si>
    <t>ORMIX</t>
  </si>
  <si>
    <t>REAL FRUTAS</t>
  </si>
  <si>
    <t>ALTUS</t>
  </si>
  <si>
    <t>GAOSEG/LOUNGEHAIR</t>
  </si>
  <si>
    <t>ART MUS</t>
  </si>
  <si>
    <t>BUSINESS</t>
  </si>
  <si>
    <t>Cadastrado apenas em 205 206 | Não cadastrado em 209 210 361</t>
  </si>
  <si>
    <t>Não existe nenhum usuario cadastrado na empresa</t>
  </si>
  <si>
    <t>FUENTES</t>
  </si>
  <si>
    <t>BC</t>
  </si>
  <si>
    <t>Eltexs e Taxbase</t>
  </si>
  <si>
    <t>Escola Realiza (Grupo)</t>
  </si>
  <si>
    <t>Fiscal Oficial Farma + Tax base</t>
  </si>
  <si>
    <t>Elizabeth / Lays - Sorvfoods</t>
  </si>
  <si>
    <t>Contato referente ao grupo PORTO, não ficou claro se faz parte da empresa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</si>
</sst>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sz val="12"/>
      <color rgb="FFBFBFBF"/>
      <name val="Arial"/>
      <family val="2"/>
    </font>
    <font>
      <b/>
      <sz val="12"/>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1" fillId="0" borderId="0" applyNumberFormat="0" applyFill="0" applyBorder="0" applyAlignment="0" applyProtection="0"/>
  </cellStyleXfs>
  <cellXfs count="30">
    <xf numFmtId="0" fontId="0" fillId="0" borderId="0" xfId="0"/>
    <xf numFmtId="49" fontId="0" fillId="0" borderId="0" xfId="0" applyNumberFormat="1" applyAlignment="1">
      <alignment horizontal="center"/>
    </xf>
    <xf numFmtId="0" fontId="0" fillId="0" borderId="0" xfId="0" applyAlignment="1">
      <alignment horizontal="center"/>
    </xf>
    <xf numFmtId="0" fontId="0" fillId="0" borderId="0" xfId="0" applyFill="1"/>
    <xf numFmtId="0" fontId="0" fillId="0" borderId="0" xfId="0" applyAlignment="1">
      <alignment horizontal="left"/>
    </xf>
    <xf numFmtId="0" fontId="2" fillId="0" borderId="0" xfId="0" applyFont="1"/>
    <xf numFmtId="49" fontId="0" fillId="0" borderId="0" xfId="0" applyNumberFormat="1"/>
    <xf numFmtId="0" fontId="2" fillId="0" borderId="0" xfId="0" applyFont="1" applyAlignment="1">
      <alignment horizontal="center"/>
    </xf>
    <xf numFmtId="49" fontId="0" fillId="0" borderId="0" xfId="0" applyNumberFormat="1" applyAlignment="1">
      <alignment horizontal="left"/>
    </xf>
    <xf numFmtId="0" fontId="1" fillId="0" borderId="0" xfId="1"/>
    <xf numFmtId="49" fontId="1" fillId="0" borderId="0" xfId="1" applyNumberFormat="1" applyAlignment="1">
      <alignment horizontal="center"/>
    </xf>
    <xf numFmtId="0" fontId="0" fillId="0" borderId="0" xfId="0" applyFill="1" applyAlignment="1">
      <alignment horizontal="center"/>
    </xf>
    <xf numFmtId="0" fontId="0" fillId="0" borderId="0" xfId="0" applyAlignment="1">
      <alignment horizontal="center" vertical="center" wrapText="1"/>
    </xf>
    <xf numFmtId="0" fontId="1" fillId="0" borderId="0" xfId="1" applyAlignment="1">
      <alignment horizontal="left"/>
    </xf>
    <xf numFmtId="49" fontId="3" fillId="2" borderId="1" xfId="0" applyNumberFormat="1" applyFont="1" applyFill="1" applyBorder="1" applyAlignment="1">
      <alignment horizontal="center"/>
    </xf>
    <xf numFmtId="0" fontId="3" fillId="2" borderId="1" xfId="0" applyFont="1" applyFill="1" applyBorder="1" applyAlignment="1">
      <alignment horizontal="center"/>
    </xf>
    <xf numFmtId="0" fontId="0" fillId="0" borderId="2" xfId="0" applyBorder="1" applyAlignment="1">
      <alignment horizontal="center"/>
    </xf>
    <xf numFmtId="10" fontId="0" fillId="0" borderId="3" xfId="0" applyNumberFormat="1" applyBorder="1"/>
    <xf numFmtId="0" fontId="0" fillId="0" borderId="4" xfId="0" applyBorder="1" applyAlignment="1">
      <alignment horizontal="center"/>
    </xf>
    <xf numFmtId="10" fontId="0" fillId="0" borderId="5" xfId="0" applyNumberFormat="1" applyBorder="1"/>
    <xf numFmtId="0" fontId="0" fillId="0" borderId="3" xfId="0" applyBorder="1"/>
    <xf numFmtId="0" fontId="0" fillId="0" borderId="6" xfId="0" applyBorder="1" applyAlignment="1">
      <alignment horizontal="center"/>
    </xf>
    <xf numFmtId="10" fontId="0" fillId="0" borderId="7" xfId="0" applyNumberFormat="1" applyBorder="1"/>
    <xf numFmtId="0" fontId="0" fillId="0" borderId="0" xfId="0" applyFill="1" applyAlignment="1">
      <alignment horizontal="left"/>
    </xf>
    <xf numFmtId="0" fontId="0" fillId="0" borderId="4" xfId="0" applyFill="1" applyBorder="1" applyAlignment="1">
      <alignment horizontal="center"/>
    </xf>
    <xf numFmtId="0" fontId="0" fillId="0" borderId="6" xfId="0" applyFill="1" applyBorder="1" applyAlignment="1">
      <alignment horizontal="center"/>
    </xf>
    <xf numFmtId="10" fontId="0" fillId="0" borderId="7" xfId="0" applyNumberFormat="1" applyFill="1" applyBorder="1"/>
    <xf numFmtId="0" fontId="0" fillId="0" borderId="0" xfId="0" applyFont="1"/>
    <xf numFmtId="0" fontId="0" fillId="0" borderId="0" xfId="0" applyFont="1" applyAlignment="1">
      <alignment horizontal="left"/>
    </xf>
    <xf numFmtId="10" fontId="0" fillId="0" borderId="0" xfId="0" applyNumberFormat="1"/>
  </cellXfs>
  <cellStyles count="2">
    <cellStyle name="Hiperlink" xfId="1" builtinId="8"/>
    <cellStyle name="Normal" xfId="0" builtinId="0"/>
  </cellStyles>
  <dxfs count="15">
    <dxf>
      <fill>
        <patternFill>
          <bgColor theme="9" tint="0.39994506668294322"/>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vertical/>
        <horizontal/>
      </border>
    </dxf>
    <dxf>
      <fill>
        <patternFill>
          <bgColor rgb="FFFB5F5F"/>
        </patternFill>
      </fill>
      <border>
        <left style="thin">
          <color auto="1"/>
        </left>
        <right style="thin">
          <color auto="1"/>
        </right>
        <top style="thin">
          <color auto="1"/>
        </top>
        <bottom style="thin">
          <color auto="1"/>
        </bottom>
        <vertical/>
        <horizontal/>
      </border>
    </dxf>
    <dxf>
      <fill>
        <patternFill>
          <bgColor theme="6" tint="0.39994506668294322"/>
        </patternFill>
      </fill>
      <border>
        <left style="thin">
          <color auto="1"/>
        </left>
        <right style="thin">
          <color auto="1"/>
        </right>
        <top style="thin">
          <color auto="1"/>
        </top>
        <bottom style="thin">
          <color auto="1"/>
        </bottom>
        <vertical/>
        <horizontal/>
      </border>
    </dxf>
    <dxf>
      <fill>
        <patternFill>
          <bgColor theme="8" tint="-0.24994659260841701"/>
        </patternFill>
      </fill>
      <border>
        <left style="thin">
          <color auto="1"/>
        </left>
        <right style="thin">
          <color auto="1"/>
        </right>
        <top style="thin">
          <color auto="1"/>
        </top>
        <bottom style="thin">
          <color auto="1"/>
        </bottom>
        <vertical/>
        <horizontal/>
      </border>
    </dxf>
    <dxf>
      <fill>
        <patternFill>
          <bgColor theme="9" tint="0.39994506668294322"/>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vertical/>
        <horizontal/>
      </border>
    </dxf>
    <dxf>
      <fill>
        <patternFill>
          <bgColor rgb="FFFB5F5F"/>
        </patternFill>
      </fill>
      <border>
        <left style="thin">
          <color auto="1"/>
        </left>
        <right style="thin">
          <color auto="1"/>
        </right>
        <top style="thin">
          <color auto="1"/>
        </top>
        <bottom style="thin">
          <color auto="1"/>
        </bottom>
        <vertical/>
        <horizontal/>
      </border>
    </dxf>
    <dxf>
      <fill>
        <patternFill>
          <bgColor theme="6" tint="0.39994506668294322"/>
        </patternFill>
      </fill>
      <border>
        <left style="thin">
          <color auto="1"/>
        </left>
        <right style="thin">
          <color auto="1"/>
        </right>
        <top style="thin">
          <color auto="1"/>
        </top>
        <bottom style="thin">
          <color auto="1"/>
        </bottom>
        <vertical/>
        <horizontal/>
      </border>
    </dxf>
    <dxf>
      <fill>
        <patternFill>
          <bgColor theme="8" tint="-0.24994659260841701"/>
        </patternFill>
      </fill>
      <border>
        <left style="thin">
          <color auto="1"/>
        </left>
        <right style="thin">
          <color auto="1"/>
        </right>
        <top style="thin">
          <color auto="1"/>
        </top>
        <bottom style="thin">
          <color auto="1"/>
        </bottom>
        <vertical/>
        <horizontal/>
      </border>
    </dxf>
    <dxf>
      <fill>
        <patternFill>
          <bgColor theme="9" tint="0.39994506668294322"/>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vertical/>
        <horizontal/>
      </border>
    </dxf>
    <dxf>
      <fill>
        <patternFill>
          <bgColor rgb="FFFB5F5F"/>
        </patternFill>
      </fill>
      <border>
        <left style="thin">
          <color auto="1"/>
        </left>
        <right style="thin">
          <color auto="1"/>
        </right>
        <top style="thin">
          <color auto="1"/>
        </top>
        <bottom style="thin">
          <color auto="1"/>
        </bottom>
        <vertical/>
        <horizontal/>
      </border>
    </dxf>
    <dxf>
      <fill>
        <patternFill>
          <bgColor theme="6" tint="0.39994506668294322"/>
        </patternFill>
      </fill>
      <border>
        <left style="thin">
          <color auto="1"/>
        </left>
        <right style="thin">
          <color auto="1"/>
        </right>
        <top style="thin">
          <color auto="1"/>
        </top>
        <bottom style="thin">
          <color auto="1"/>
        </bottom>
        <vertical/>
        <horizontal/>
      </border>
    </dxf>
    <dxf>
      <fill>
        <patternFill>
          <bgColor theme="8" tint="-0.24994659260841701"/>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FB5F5F"/>
      <color rgb="FFFA3C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4417B-7E27-4729-A5E3-28768206501C}">
  <dimension ref="A1:J271"/>
  <sheetViews>
    <sheetView tabSelected="1" topLeftCell="A73" zoomScaleNormal="100" workbookViewId="0">
      <selection activeCell="C99" sqref="C99"/>
    </sheetView>
  </sheetViews>
  <sheetFormatPr defaultRowHeight="15" x14ac:dyDescent="0.25"/>
  <cols>
    <col min="1" max="1" width="42.28515625" style="2" bestFit="1" customWidth="1"/>
    <col min="2" max="2" width="17.28515625" style="1" bestFit="1" customWidth="1"/>
    <col min="3" max="3" width="32.85546875" style="2" bestFit="1" customWidth="1"/>
    <col min="4" max="5" width="25" style="4" customWidth="1"/>
    <col min="6" max="6" width="84.140625" style="4" customWidth="1"/>
    <col min="7" max="7" width="18.85546875" bestFit="1" customWidth="1"/>
    <col min="8" max="8" width="33.140625" bestFit="1" customWidth="1"/>
  </cols>
  <sheetData>
    <row r="1" spans="1:10" ht="15.75" x14ac:dyDescent="0.25">
      <c r="A1" s="14" t="s">
        <v>0</v>
      </c>
      <c r="B1" s="14" t="s">
        <v>1</v>
      </c>
      <c r="C1" s="14" t="s">
        <v>2</v>
      </c>
      <c r="D1" s="15" t="s">
        <v>504</v>
      </c>
      <c r="E1" s="15" t="s">
        <v>645</v>
      </c>
      <c r="F1" s="15" t="s">
        <v>510</v>
      </c>
      <c r="G1" s="15" t="s">
        <v>555</v>
      </c>
      <c r="H1" s="15" t="s">
        <v>557</v>
      </c>
      <c r="I1" s="15" t="s">
        <v>558</v>
      </c>
    </row>
    <row r="2" spans="1:10" x14ac:dyDescent="0.25">
      <c r="A2" s="1" t="s">
        <v>19</v>
      </c>
      <c r="B2" s="1" t="s">
        <v>20</v>
      </c>
      <c r="C2" s="1" t="s">
        <v>21</v>
      </c>
      <c r="D2" s="4">
        <v>43</v>
      </c>
      <c r="E2" s="4" t="s">
        <v>664</v>
      </c>
      <c r="H2" s="16" t="s">
        <v>559</v>
      </c>
      <c r="I2" s="20">
        <f>COUNTA(C2:C1000)</f>
        <v>270</v>
      </c>
    </row>
    <row r="3" spans="1:10" x14ac:dyDescent="0.25">
      <c r="A3" s="1" t="s">
        <v>22</v>
      </c>
      <c r="B3" s="1" t="s">
        <v>23</v>
      </c>
      <c r="C3" s="1" t="s">
        <v>21</v>
      </c>
      <c r="D3" s="4">
        <v>123</v>
      </c>
      <c r="E3" s="4" t="s">
        <v>661</v>
      </c>
      <c r="H3" s="21" t="s">
        <v>21</v>
      </c>
      <c r="I3" s="22">
        <f t="shared" ref="I3:I10" si="0">(COUNTIF($C$2:$C$1000, H3))/$I$2</f>
        <v>0.34444444444444444</v>
      </c>
      <c r="J3">
        <f>I3*$I$2</f>
        <v>93</v>
      </c>
    </row>
    <row r="4" spans="1:10" x14ac:dyDescent="0.25">
      <c r="A4" s="1" t="s">
        <v>26</v>
      </c>
      <c r="B4" s="1" t="s">
        <v>27</v>
      </c>
      <c r="C4" s="1" t="s">
        <v>21</v>
      </c>
      <c r="D4" s="4" t="s">
        <v>543</v>
      </c>
      <c r="E4" s="4" t="s">
        <v>647</v>
      </c>
      <c r="F4" s="8" t="s">
        <v>545</v>
      </c>
      <c r="H4" s="21" t="s">
        <v>550</v>
      </c>
      <c r="I4" s="22">
        <f t="shared" si="0"/>
        <v>5.5555555555555552E-2</v>
      </c>
      <c r="J4">
        <f t="shared" ref="J4:J13" si="1">I4*$I$2</f>
        <v>15</v>
      </c>
    </row>
    <row r="5" spans="1:10" x14ac:dyDescent="0.25">
      <c r="A5" s="1" t="s">
        <v>24</v>
      </c>
      <c r="B5" s="1" t="s">
        <v>25</v>
      </c>
      <c r="C5" s="1" t="s">
        <v>21</v>
      </c>
      <c r="D5" s="4" t="s">
        <v>506</v>
      </c>
      <c r="E5" s="4" t="s">
        <v>648</v>
      </c>
      <c r="H5" s="21" t="s">
        <v>509</v>
      </c>
      <c r="I5" s="22">
        <f t="shared" si="0"/>
        <v>0.36666666666666664</v>
      </c>
      <c r="J5">
        <f t="shared" si="1"/>
        <v>99</v>
      </c>
    </row>
    <row r="6" spans="1:10" x14ac:dyDescent="0.25">
      <c r="A6" s="1" t="s">
        <v>34</v>
      </c>
      <c r="B6" s="1" t="s">
        <v>35</v>
      </c>
      <c r="C6" s="1" t="s">
        <v>21</v>
      </c>
      <c r="D6" s="4" t="s">
        <v>641</v>
      </c>
      <c r="E6" s="4" t="s">
        <v>662</v>
      </c>
      <c r="F6" s="4" t="s">
        <v>560</v>
      </c>
      <c r="H6" s="21" t="s">
        <v>507</v>
      </c>
      <c r="I6" s="22">
        <f t="shared" si="0"/>
        <v>7.7777777777777779E-2</v>
      </c>
      <c r="J6">
        <f t="shared" si="1"/>
        <v>21</v>
      </c>
    </row>
    <row r="7" spans="1:10" x14ac:dyDescent="0.25">
      <c r="A7" s="1" t="s">
        <v>42</v>
      </c>
      <c r="B7" s="1" t="s">
        <v>43</v>
      </c>
      <c r="C7" s="1" t="s">
        <v>21</v>
      </c>
      <c r="D7" s="4">
        <v>258</v>
      </c>
      <c r="E7" s="4" t="s">
        <v>651</v>
      </c>
      <c r="H7" s="21" t="s">
        <v>510</v>
      </c>
      <c r="I7" s="22">
        <f t="shared" si="0"/>
        <v>1.1111111111111112E-2</v>
      </c>
      <c r="J7">
        <f t="shared" si="1"/>
        <v>3</v>
      </c>
    </row>
    <row r="8" spans="1:10" x14ac:dyDescent="0.25">
      <c r="A8" s="1" t="s">
        <v>17</v>
      </c>
      <c r="B8" s="1" t="s">
        <v>18</v>
      </c>
      <c r="C8" s="1" t="s">
        <v>21</v>
      </c>
      <c r="D8" s="28" t="s">
        <v>627</v>
      </c>
      <c r="E8" s="28" t="s">
        <v>649</v>
      </c>
      <c r="F8" t="s">
        <v>632</v>
      </c>
      <c r="H8" s="21" t="s">
        <v>551</v>
      </c>
      <c r="I8" s="22">
        <f t="shared" si="0"/>
        <v>4.4444444444444446E-2</v>
      </c>
      <c r="J8">
        <f t="shared" si="1"/>
        <v>12</v>
      </c>
    </row>
    <row r="9" spans="1:10" x14ac:dyDescent="0.25">
      <c r="A9" s="1" t="s">
        <v>50</v>
      </c>
      <c r="B9" s="1" t="s">
        <v>51</v>
      </c>
      <c r="C9" s="1" t="s">
        <v>21</v>
      </c>
      <c r="D9" s="4" t="s">
        <v>517</v>
      </c>
      <c r="E9" s="4" t="s">
        <v>646</v>
      </c>
      <c r="H9" s="25" t="s">
        <v>594</v>
      </c>
      <c r="I9" s="26">
        <f t="shared" si="0"/>
        <v>8.1481481481481488E-2</v>
      </c>
      <c r="J9">
        <f t="shared" si="1"/>
        <v>22</v>
      </c>
    </row>
    <row r="10" spans="1:10" x14ac:dyDescent="0.25">
      <c r="A10" s="11" t="s">
        <v>56</v>
      </c>
      <c r="B10" s="1" t="s">
        <v>57</v>
      </c>
      <c r="C10" s="1" t="s">
        <v>21</v>
      </c>
      <c r="D10" s="4">
        <v>81</v>
      </c>
      <c r="E10" s="4" t="s">
        <v>652</v>
      </c>
      <c r="H10" s="24" t="s">
        <v>570</v>
      </c>
      <c r="I10" s="19">
        <f t="shared" si="0"/>
        <v>3.7037037037037038E-3</v>
      </c>
      <c r="J10">
        <f t="shared" si="1"/>
        <v>1</v>
      </c>
    </row>
    <row r="11" spans="1:10" x14ac:dyDescent="0.25">
      <c r="A11" s="1" t="s">
        <v>62</v>
      </c>
      <c r="B11" s="1" t="s">
        <v>63</v>
      </c>
      <c r="C11" s="1" t="s">
        <v>21</v>
      </c>
      <c r="D11" s="4">
        <v>334</v>
      </c>
      <c r="E11" s="4" t="s">
        <v>667</v>
      </c>
    </row>
    <row r="12" spans="1:10" x14ac:dyDescent="0.25">
      <c r="A12" s="11" t="s">
        <v>70</v>
      </c>
      <c r="B12" s="1" t="s">
        <v>71</v>
      </c>
      <c r="C12" s="1" t="s">
        <v>21</v>
      </c>
      <c r="D12" s="4">
        <v>275</v>
      </c>
      <c r="E12" s="4" t="s">
        <v>663</v>
      </c>
      <c r="H12" s="16" t="s">
        <v>564</v>
      </c>
      <c r="I12" s="17">
        <f>I3+I8+I9+I10</f>
        <v>0.47407407407407409</v>
      </c>
      <c r="J12">
        <f t="shared" si="1"/>
        <v>128</v>
      </c>
    </row>
    <row r="13" spans="1:10" x14ac:dyDescent="0.25">
      <c r="A13" s="11" t="s">
        <v>80</v>
      </c>
      <c r="B13" s="1" t="s">
        <v>81</v>
      </c>
      <c r="C13" s="1" t="s">
        <v>21</v>
      </c>
      <c r="D13" s="4" t="s">
        <v>523</v>
      </c>
      <c r="E13" s="4" t="s">
        <v>653</v>
      </c>
      <c r="F13" s="4" t="s">
        <v>524</v>
      </c>
      <c r="H13" s="18" t="s">
        <v>563</v>
      </c>
      <c r="I13" s="19">
        <f>SUM(I4:I7)</f>
        <v>0.51111111111111107</v>
      </c>
      <c r="J13">
        <f t="shared" si="1"/>
        <v>138</v>
      </c>
    </row>
    <row r="14" spans="1:10" x14ac:dyDescent="0.25">
      <c r="A14" s="12" t="s">
        <v>84</v>
      </c>
      <c r="B14" s="1" t="s">
        <v>85</v>
      </c>
      <c r="C14" s="1" t="s">
        <v>21</v>
      </c>
      <c r="D14" s="4" t="s">
        <v>526</v>
      </c>
      <c r="E14" s="4" t="s">
        <v>654</v>
      </c>
    </row>
    <row r="15" spans="1:10" x14ac:dyDescent="0.25">
      <c r="A15" s="2" t="s">
        <v>108</v>
      </c>
      <c r="B15" s="1" t="s">
        <v>109</v>
      </c>
      <c r="C15" s="1" t="s">
        <v>21</v>
      </c>
      <c r="D15" s="4">
        <v>28</v>
      </c>
      <c r="E15" s="4" t="s">
        <v>664</v>
      </c>
      <c r="I15" s="29"/>
    </row>
    <row r="16" spans="1:10" x14ac:dyDescent="0.25">
      <c r="A16" s="2" t="s">
        <v>116</v>
      </c>
      <c r="B16" s="1" t="s">
        <v>117</v>
      </c>
      <c r="C16" s="1" t="s">
        <v>21</v>
      </c>
      <c r="D16" s="4">
        <v>231</v>
      </c>
      <c r="E16" s="4" t="s">
        <v>670</v>
      </c>
    </row>
    <row r="17" spans="1:6" x14ac:dyDescent="0.25">
      <c r="A17" s="2" t="s">
        <v>118</v>
      </c>
      <c r="B17" s="1" t="s">
        <v>119</v>
      </c>
      <c r="C17" s="1" t="s">
        <v>21</v>
      </c>
      <c r="D17" s="4" t="s">
        <v>552</v>
      </c>
      <c r="E17" s="4" t="s">
        <v>677</v>
      </c>
    </row>
    <row r="18" spans="1:6" x14ac:dyDescent="0.25">
      <c r="A18" s="2" t="s">
        <v>120</v>
      </c>
      <c r="B18" s="1" t="s">
        <v>121</v>
      </c>
      <c r="C18" s="1" t="s">
        <v>21</v>
      </c>
      <c r="D18" s="4">
        <v>233</v>
      </c>
      <c r="E18" s="4" t="s">
        <v>672</v>
      </c>
    </row>
    <row r="19" spans="1:6" x14ac:dyDescent="0.25">
      <c r="A19" s="2" t="s">
        <v>129</v>
      </c>
      <c r="B19" s="1" t="s">
        <v>130</v>
      </c>
      <c r="C19" s="1" t="s">
        <v>21</v>
      </c>
      <c r="D19" s="4">
        <v>295</v>
      </c>
      <c r="E19" s="4" t="s">
        <v>678</v>
      </c>
    </row>
    <row r="20" spans="1:6" x14ac:dyDescent="0.25">
      <c r="A20" s="2" t="s">
        <v>126</v>
      </c>
      <c r="B20" s="1" t="s">
        <v>127</v>
      </c>
      <c r="C20" s="1" t="s">
        <v>21</v>
      </c>
      <c r="D20" s="4" t="s">
        <v>523</v>
      </c>
      <c r="E20" s="4" t="s">
        <v>653</v>
      </c>
      <c r="F20" s="4" t="s">
        <v>519</v>
      </c>
    </row>
    <row r="21" spans="1:6" x14ac:dyDescent="0.25">
      <c r="A21" s="2" t="s">
        <v>728</v>
      </c>
      <c r="B21" s="1" t="s">
        <v>128</v>
      </c>
      <c r="C21" s="1" t="s">
        <v>21</v>
      </c>
      <c r="D21" s="4" t="s">
        <v>517</v>
      </c>
      <c r="E21" s="4" t="s">
        <v>646</v>
      </c>
    </row>
    <row r="22" spans="1:6" x14ac:dyDescent="0.25">
      <c r="A22" s="2" t="s">
        <v>133</v>
      </c>
      <c r="B22" s="1" t="s">
        <v>134</v>
      </c>
      <c r="C22" s="1" t="s">
        <v>21</v>
      </c>
      <c r="D22" s="4">
        <v>169</v>
      </c>
      <c r="E22" s="4" t="s">
        <v>673</v>
      </c>
    </row>
    <row r="23" spans="1:6" x14ac:dyDescent="0.25">
      <c r="A23" s="2" t="s">
        <v>145</v>
      </c>
      <c r="B23" s="1" t="s">
        <v>146</v>
      </c>
      <c r="C23" s="1" t="s">
        <v>21</v>
      </c>
      <c r="D23" s="4" t="s">
        <v>505</v>
      </c>
      <c r="E23" s="4" t="s">
        <v>674</v>
      </c>
    </row>
    <row r="24" spans="1:6" x14ac:dyDescent="0.25">
      <c r="A24" s="2" t="s">
        <v>155</v>
      </c>
      <c r="B24" s="1" t="s">
        <v>156</v>
      </c>
      <c r="C24" s="1" t="s">
        <v>21</v>
      </c>
      <c r="D24" s="4">
        <v>143</v>
      </c>
      <c r="E24" s="4" t="s">
        <v>676</v>
      </c>
    </row>
    <row r="25" spans="1:6" x14ac:dyDescent="0.25">
      <c r="A25" s="2" t="s">
        <v>163</v>
      </c>
      <c r="B25" s="1" t="s">
        <v>164</v>
      </c>
      <c r="C25" s="1" t="s">
        <v>21</v>
      </c>
      <c r="D25" s="4" t="s">
        <v>526</v>
      </c>
      <c r="E25" s="4" t="s">
        <v>654</v>
      </c>
    </row>
    <row r="26" spans="1:6" x14ac:dyDescent="0.25">
      <c r="A26" s="2" t="s">
        <v>161</v>
      </c>
      <c r="B26" s="1" t="s">
        <v>162</v>
      </c>
      <c r="C26" s="1" t="s">
        <v>21</v>
      </c>
      <c r="D26" s="4" t="s">
        <v>508</v>
      </c>
      <c r="E26" s="4" t="s">
        <v>650</v>
      </c>
      <c r="F26" s="4" t="s">
        <v>522</v>
      </c>
    </row>
    <row r="27" spans="1:6" x14ac:dyDescent="0.25">
      <c r="A27" s="2" t="s">
        <v>165</v>
      </c>
      <c r="B27" s="1" t="s">
        <v>166</v>
      </c>
      <c r="C27" s="1" t="s">
        <v>21</v>
      </c>
      <c r="D27" s="4">
        <v>329</v>
      </c>
      <c r="E27" s="4" t="s">
        <v>671</v>
      </c>
    </row>
    <row r="28" spans="1:6" x14ac:dyDescent="0.25">
      <c r="A28" s="2" t="s">
        <v>169</v>
      </c>
      <c r="B28" s="1" t="s">
        <v>170</v>
      </c>
      <c r="C28" s="1" t="s">
        <v>21</v>
      </c>
      <c r="D28" s="4">
        <v>289</v>
      </c>
      <c r="E28" s="4" t="s">
        <v>679</v>
      </c>
    </row>
    <row r="29" spans="1:6" x14ac:dyDescent="0.25">
      <c r="A29" s="2" t="s">
        <v>171</v>
      </c>
      <c r="B29" s="1" t="s">
        <v>172</v>
      </c>
      <c r="C29" s="1" t="s">
        <v>21</v>
      </c>
      <c r="D29" s="4" t="s">
        <v>529</v>
      </c>
      <c r="E29" s="4" t="s">
        <v>666</v>
      </c>
    </row>
    <row r="30" spans="1:6" x14ac:dyDescent="0.25">
      <c r="A30" s="2" t="s">
        <v>177</v>
      </c>
      <c r="B30" s="1" t="s">
        <v>178</v>
      </c>
      <c r="C30" s="1" t="s">
        <v>21</v>
      </c>
      <c r="D30" s="4" t="s">
        <v>543</v>
      </c>
      <c r="E30" s="4" t="s">
        <v>647</v>
      </c>
    </row>
    <row r="31" spans="1:6" x14ac:dyDescent="0.25">
      <c r="A31" s="2" t="s">
        <v>186</v>
      </c>
      <c r="B31" s="1" t="s">
        <v>187</v>
      </c>
      <c r="C31" s="1" t="s">
        <v>21</v>
      </c>
      <c r="D31" s="4">
        <v>334</v>
      </c>
      <c r="E31" s="4" t="s">
        <v>667</v>
      </c>
    </row>
    <row r="32" spans="1:6" x14ac:dyDescent="0.25">
      <c r="A32" s="2" t="s">
        <v>182</v>
      </c>
      <c r="B32" s="1" t="s">
        <v>183</v>
      </c>
      <c r="C32" s="1" t="s">
        <v>21</v>
      </c>
      <c r="D32" s="4">
        <v>82</v>
      </c>
      <c r="E32" s="4" t="s">
        <v>652</v>
      </c>
    </row>
    <row r="33" spans="1:6" x14ac:dyDescent="0.25">
      <c r="A33" s="2" t="s">
        <v>188</v>
      </c>
      <c r="B33" s="1" t="s">
        <v>189</v>
      </c>
      <c r="C33" s="1" t="s">
        <v>21</v>
      </c>
      <c r="D33" s="4" t="s">
        <v>515</v>
      </c>
      <c r="E33" s="4" t="s">
        <v>675</v>
      </c>
    </row>
    <row r="34" spans="1:6" x14ac:dyDescent="0.25">
      <c r="A34" s="2" t="s">
        <v>198</v>
      </c>
      <c r="B34" s="1" t="s">
        <v>199</v>
      </c>
      <c r="C34" s="1" t="s">
        <v>21</v>
      </c>
      <c r="D34" s="4" t="s">
        <v>513</v>
      </c>
      <c r="E34" s="4" t="s">
        <v>669</v>
      </c>
    </row>
    <row r="35" spans="1:6" x14ac:dyDescent="0.25">
      <c r="A35" s="2" t="s">
        <v>202</v>
      </c>
      <c r="B35" s="1" t="s">
        <v>203</v>
      </c>
      <c r="C35" s="1" t="s">
        <v>21</v>
      </c>
      <c r="D35" s="4">
        <v>289</v>
      </c>
      <c r="E35" s="4" t="s">
        <v>679</v>
      </c>
    </row>
    <row r="36" spans="1:6" x14ac:dyDescent="0.25">
      <c r="A36" s="2" t="s">
        <v>210</v>
      </c>
      <c r="B36" s="1" t="s">
        <v>211</v>
      </c>
      <c r="C36" s="1" t="s">
        <v>21</v>
      </c>
      <c r="D36" s="4">
        <v>113</v>
      </c>
      <c r="E36" s="4" t="s">
        <v>680</v>
      </c>
    </row>
    <row r="37" spans="1:6" x14ac:dyDescent="0.25">
      <c r="A37" s="2" t="s">
        <v>212</v>
      </c>
      <c r="B37" s="1" t="s">
        <v>213</v>
      </c>
      <c r="C37" s="1" t="s">
        <v>21</v>
      </c>
      <c r="D37" s="4" t="s">
        <v>529</v>
      </c>
      <c r="E37" s="4" t="s">
        <v>666</v>
      </c>
    </row>
    <row r="38" spans="1:6" x14ac:dyDescent="0.25">
      <c r="A38" s="2" t="s">
        <v>216</v>
      </c>
      <c r="B38" s="1" t="s">
        <v>217</v>
      </c>
      <c r="C38" s="1" t="s">
        <v>21</v>
      </c>
      <c r="D38" s="4">
        <v>81</v>
      </c>
      <c r="E38" s="4" t="s">
        <v>652</v>
      </c>
    </row>
    <row r="39" spans="1:6" x14ac:dyDescent="0.25">
      <c r="A39" s="2" t="s">
        <v>226</v>
      </c>
      <c r="B39" s="1" t="s">
        <v>227</v>
      </c>
      <c r="C39" s="1" t="s">
        <v>21</v>
      </c>
      <c r="D39" s="4">
        <v>43</v>
      </c>
      <c r="E39" s="4" t="s">
        <v>664</v>
      </c>
    </row>
    <row r="40" spans="1:6" x14ac:dyDescent="0.25">
      <c r="A40" s="2" t="s">
        <v>222</v>
      </c>
      <c r="B40" s="1" t="s">
        <v>223</v>
      </c>
      <c r="C40" s="1" t="s">
        <v>21</v>
      </c>
      <c r="D40" s="4" t="s">
        <v>505</v>
      </c>
      <c r="E40" s="4" t="s">
        <v>674</v>
      </c>
    </row>
    <row r="41" spans="1:6" x14ac:dyDescent="0.25">
      <c r="A41" s="2" t="s">
        <v>224</v>
      </c>
      <c r="B41" s="1" t="s">
        <v>225</v>
      </c>
      <c r="C41" s="1" t="s">
        <v>21</v>
      </c>
      <c r="D41" s="4">
        <v>267</v>
      </c>
      <c r="E41" s="4" t="s">
        <v>655</v>
      </c>
    </row>
    <row r="42" spans="1:6" x14ac:dyDescent="0.25">
      <c r="A42" s="2" t="s">
        <v>232</v>
      </c>
      <c r="B42" s="1" t="s">
        <v>233</v>
      </c>
      <c r="C42" s="1" t="s">
        <v>21</v>
      </c>
      <c r="D42" s="4">
        <v>169</v>
      </c>
      <c r="E42" s="4" t="s">
        <v>673</v>
      </c>
    </row>
    <row r="43" spans="1:6" x14ac:dyDescent="0.25">
      <c r="A43" s="2" t="s">
        <v>250</v>
      </c>
      <c r="B43" s="1" t="s">
        <v>251</v>
      </c>
      <c r="C43" s="1" t="s">
        <v>21</v>
      </c>
      <c r="D43" s="4" t="s">
        <v>526</v>
      </c>
      <c r="E43" s="4" t="s">
        <v>654</v>
      </c>
    </row>
    <row r="44" spans="1:6" ht="15" customHeight="1" x14ac:dyDescent="0.25">
      <c r="A44" s="2" t="s">
        <v>260</v>
      </c>
      <c r="B44" s="1" t="s">
        <v>261</v>
      </c>
      <c r="C44" s="1" t="s">
        <v>21</v>
      </c>
      <c r="D44" s="4">
        <v>257</v>
      </c>
      <c r="E44" s="4" t="s">
        <v>681</v>
      </c>
    </row>
    <row r="45" spans="1:6" ht="15" customHeight="1" x14ac:dyDescent="0.25">
      <c r="A45" s="2" t="s">
        <v>266</v>
      </c>
      <c r="B45" s="1" t="s">
        <v>267</v>
      </c>
      <c r="C45" s="1" t="s">
        <v>21</v>
      </c>
      <c r="D45" s="4" t="s">
        <v>514</v>
      </c>
      <c r="E45" s="4" t="s">
        <v>656</v>
      </c>
    </row>
    <row r="46" spans="1:6" x14ac:dyDescent="0.25">
      <c r="A46" s="2" t="s">
        <v>258</v>
      </c>
      <c r="B46" s="1" t="s">
        <v>259</v>
      </c>
      <c r="C46" s="1" t="s">
        <v>21</v>
      </c>
      <c r="D46" s="4" t="s">
        <v>634</v>
      </c>
      <c r="E46" s="4" t="s">
        <v>649</v>
      </c>
      <c r="F46" s="4" t="s">
        <v>635</v>
      </c>
    </row>
    <row r="47" spans="1:6" x14ac:dyDescent="0.25">
      <c r="A47" s="2" t="s">
        <v>268</v>
      </c>
      <c r="B47" s="1" t="s">
        <v>269</v>
      </c>
      <c r="C47" s="1" t="s">
        <v>21</v>
      </c>
      <c r="D47" s="4">
        <v>219</v>
      </c>
      <c r="E47" s="4" t="s">
        <v>682</v>
      </c>
    </row>
    <row r="48" spans="1:6" x14ac:dyDescent="0.25">
      <c r="A48" s="2" t="s">
        <v>272</v>
      </c>
      <c r="B48" s="1" t="s">
        <v>273</v>
      </c>
      <c r="C48" s="1" t="s">
        <v>21</v>
      </c>
      <c r="D48" s="4">
        <v>19</v>
      </c>
      <c r="E48" s="4" t="s">
        <v>683</v>
      </c>
    </row>
    <row r="49" spans="1:6" x14ac:dyDescent="0.25">
      <c r="A49" s="2" t="s">
        <v>280</v>
      </c>
      <c r="B49" s="1" t="s">
        <v>281</v>
      </c>
      <c r="C49" s="1" t="s">
        <v>21</v>
      </c>
      <c r="D49" s="4" t="s">
        <v>534</v>
      </c>
      <c r="E49" s="4" t="s">
        <v>684</v>
      </c>
    </row>
    <row r="50" spans="1:6" x14ac:dyDescent="0.25">
      <c r="A50" s="2" t="s">
        <v>297</v>
      </c>
      <c r="B50" s="1" t="s">
        <v>298</v>
      </c>
      <c r="C50" s="1" t="s">
        <v>21</v>
      </c>
      <c r="D50" s="4" t="s">
        <v>554</v>
      </c>
    </row>
    <row r="51" spans="1:6" x14ac:dyDescent="0.25">
      <c r="A51" s="2" t="s">
        <v>299</v>
      </c>
      <c r="B51" s="1" t="s">
        <v>300</v>
      </c>
      <c r="C51" s="1" t="s">
        <v>21</v>
      </c>
      <c r="D51" s="4">
        <v>113</v>
      </c>
      <c r="E51" s="4" t="s">
        <v>680</v>
      </c>
    </row>
    <row r="52" spans="1:6" x14ac:dyDescent="0.25">
      <c r="A52" s="2" t="s">
        <v>301</v>
      </c>
      <c r="B52" s="1" t="s">
        <v>302</v>
      </c>
      <c r="C52" s="1" t="s">
        <v>21</v>
      </c>
      <c r="D52" s="4">
        <v>40</v>
      </c>
      <c r="E52" s="4" t="s">
        <v>685</v>
      </c>
    </row>
    <row r="53" spans="1:6" x14ac:dyDescent="0.25">
      <c r="A53" s="2" t="s">
        <v>303</v>
      </c>
      <c r="B53" s="1" t="s">
        <v>304</v>
      </c>
      <c r="C53" s="1" t="s">
        <v>21</v>
      </c>
      <c r="D53" s="4" t="s">
        <v>543</v>
      </c>
      <c r="E53" s="4" t="s">
        <v>647</v>
      </c>
      <c r="F53" s="4" t="s">
        <v>545</v>
      </c>
    </row>
    <row r="54" spans="1:6" x14ac:dyDescent="0.25">
      <c r="A54" s="2" t="s">
        <v>305</v>
      </c>
      <c r="B54" s="1" t="s">
        <v>306</v>
      </c>
      <c r="C54" s="1" t="s">
        <v>21</v>
      </c>
      <c r="D54" s="4" t="s">
        <v>536</v>
      </c>
      <c r="E54" s="4" t="s">
        <v>680</v>
      </c>
    </row>
    <row r="55" spans="1:6" x14ac:dyDescent="0.25">
      <c r="A55" s="2" t="s">
        <v>307</v>
      </c>
      <c r="B55" s="1" t="s">
        <v>308</v>
      </c>
      <c r="C55" s="1" t="s">
        <v>21</v>
      </c>
      <c r="D55" s="4" t="s">
        <v>606</v>
      </c>
      <c r="E55" s="4" t="s">
        <v>657</v>
      </c>
      <c r="F55" s="4" t="s">
        <v>607</v>
      </c>
    </row>
    <row r="56" spans="1:6" x14ac:dyDescent="0.25">
      <c r="A56" s="2" t="s">
        <v>323</v>
      </c>
      <c r="B56" s="1" t="s">
        <v>324</v>
      </c>
      <c r="C56" s="1" t="s">
        <v>21</v>
      </c>
      <c r="D56" s="4">
        <v>285</v>
      </c>
      <c r="E56" s="4" t="s">
        <v>646</v>
      </c>
    </row>
    <row r="57" spans="1:6" x14ac:dyDescent="0.25">
      <c r="A57" s="2" t="s">
        <v>332</v>
      </c>
      <c r="B57" s="1" t="s">
        <v>333</v>
      </c>
      <c r="C57" s="1" t="s">
        <v>21</v>
      </c>
      <c r="D57" s="4" t="s">
        <v>538</v>
      </c>
      <c r="E57" s="4" t="s">
        <v>686</v>
      </c>
    </row>
    <row r="58" spans="1:6" x14ac:dyDescent="0.25">
      <c r="A58" s="2" t="s">
        <v>334</v>
      </c>
      <c r="B58" s="1" t="s">
        <v>335</v>
      </c>
      <c r="C58" s="1" t="s">
        <v>21</v>
      </c>
      <c r="D58" s="4" t="s">
        <v>539</v>
      </c>
      <c r="E58" s="4" t="s">
        <v>687</v>
      </c>
    </row>
    <row r="59" spans="1:6" x14ac:dyDescent="0.25">
      <c r="A59" s="2" t="s">
        <v>338</v>
      </c>
      <c r="B59" s="1" t="s">
        <v>339</v>
      </c>
      <c r="C59" s="1" t="s">
        <v>21</v>
      </c>
      <c r="D59" s="4">
        <v>303</v>
      </c>
      <c r="E59" s="4" t="s">
        <v>688</v>
      </c>
    </row>
    <row r="60" spans="1:6" x14ac:dyDescent="0.25">
      <c r="A60" s="2" t="s">
        <v>346</v>
      </c>
      <c r="B60" s="1" t="s">
        <v>347</v>
      </c>
      <c r="C60" s="1" t="s">
        <v>21</v>
      </c>
      <c r="D60" s="4">
        <v>294</v>
      </c>
      <c r="E60" s="4" t="s">
        <v>689</v>
      </c>
    </row>
    <row r="61" spans="1:6" x14ac:dyDescent="0.25">
      <c r="A61" s="2" t="s">
        <v>350</v>
      </c>
      <c r="B61" s="1" t="s">
        <v>351</v>
      </c>
      <c r="C61" s="1" t="s">
        <v>21</v>
      </c>
      <c r="D61" s="4" t="s">
        <v>599</v>
      </c>
      <c r="E61" s="4" t="s">
        <v>690</v>
      </c>
    </row>
    <row r="62" spans="1:6" x14ac:dyDescent="0.25">
      <c r="A62" s="2" t="s">
        <v>358</v>
      </c>
      <c r="B62" s="1" t="s">
        <v>359</v>
      </c>
      <c r="C62" s="1" t="s">
        <v>21</v>
      </c>
      <c r="D62" s="4" t="s">
        <v>605</v>
      </c>
      <c r="E62" s="4" t="s">
        <v>658</v>
      </c>
    </row>
    <row r="63" spans="1:6" x14ac:dyDescent="0.25">
      <c r="A63" s="2" t="s">
        <v>370</v>
      </c>
      <c r="B63" s="1" t="s">
        <v>371</v>
      </c>
      <c r="C63" s="1" t="s">
        <v>21</v>
      </c>
      <c r="D63" s="4" t="s">
        <v>506</v>
      </c>
      <c r="E63" s="4" t="s">
        <v>648</v>
      </c>
    </row>
    <row r="64" spans="1:6" x14ac:dyDescent="0.25">
      <c r="A64" s="2" t="s">
        <v>380</v>
      </c>
      <c r="B64" s="1" t="s">
        <v>381</v>
      </c>
      <c r="C64" s="1" t="s">
        <v>21</v>
      </c>
      <c r="D64" s="4" t="s">
        <v>540</v>
      </c>
      <c r="E64" s="4" t="s">
        <v>691</v>
      </c>
    </row>
    <row r="65" spans="1:6" x14ac:dyDescent="0.25">
      <c r="A65" s="2" t="s">
        <v>382</v>
      </c>
      <c r="B65" s="1" t="s">
        <v>383</v>
      </c>
      <c r="C65" s="1" t="s">
        <v>21</v>
      </c>
      <c r="D65" s="4" t="s">
        <v>513</v>
      </c>
      <c r="E65" s="4" t="s">
        <v>669</v>
      </c>
    </row>
    <row r="66" spans="1:6" x14ac:dyDescent="0.25">
      <c r="A66" s="2" t="s">
        <v>384</v>
      </c>
      <c r="B66" s="1" t="s">
        <v>385</v>
      </c>
      <c r="C66" s="1" t="s">
        <v>21</v>
      </c>
      <c r="D66" s="4" t="s">
        <v>538</v>
      </c>
      <c r="E66" s="4" t="s">
        <v>686</v>
      </c>
    </row>
    <row r="67" spans="1:6" x14ac:dyDescent="0.25">
      <c r="A67" s="2" t="s">
        <v>388</v>
      </c>
      <c r="B67" s="1" t="s">
        <v>389</v>
      </c>
      <c r="C67" s="1" t="s">
        <v>21</v>
      </c>
      <c r="D67" s="4" t="s">
        <v>506</v>
      </c>
      <c r="E67" s="4" t="s">
        <v>648</v>
      </c>
    </row>
    <row r="68" spans="1:6" x14ac:dyDescent="0.25">
      <c r="A68" s="2" t="s">
        <v>386</v>
      </c>
      <c r="B68" s="1" t="s">
        <v>387</v>
      </c>
      <c r="C68" s="1" t="s">
        <v>21</v>
      </c>
      <c r="D68" s="4">
        <v>168</v>
      </c>
      <c r="E68" s="4" t="s">
        <v>692</v>
      </c>
    </row>
    <row r="69" spans="1:6" x14ac:dyDescent="0.25">
      <c r="A69" s="2" t="s">
        <v>362</v>
      </c>
      <c r="B69" s="1" t="s">
        <v>363</v>
      </c>
      <c r="C69" s="1" t="s">
        <v>21</v>
      </c>
      <c r="D69" s="4">
        <v>140</v>
      </c>
      <c r="E69" s="4" t="s">
        <v>693</v>
      </c>
    </row>
    <row r="70" spans="1:6" x14ac:dyDescent="0.25">
      <c r="A70" s="2" t="s">
        <v>394</v>
      </c>
      <c r="B70" s="1" t="s">
        <v>395</v>
      </c>
      <c r="C70" s="1" t="s">
        <v>21</v>
      </c>
      <c r="D70" s="4" t="s">
        <v>627</v>
      </c>
      <c r="E70" s="4" t="s">
        <v>649</v>
      </c>
      <c r="F70" t="s">
        <v>633</v>
      </c>
    </row>
    <row r="71" spans="1:6" x14ac:dyDescent="0.25">
      <c r="A71" s="2" t="s">
        <v>400</v>
      </c>
      <c r="B71" s="1" t="s">
        <v>401</v>
      </c>
      <c r="C71" s="1" t="s">
        <v>21</v>
      </c>
      <c r="D71" s="4">
        <v>104</v>
      </c>
      <c r="E71" s="4" t="s">
        <v>694</v>
      </c>
    </row>
    <row r="72" spans="1:6" x14ac:dyDescent="0.25">
      <c r="A72" s="2" t="s">
        <v>404</v>
      </c>
      <c r="B72" s="1" t="s">
        <v>405</v>
      </c>
      <c r="C72" s="1" t="s">
        <v>21</v>
      </c>
      <c r="D72" s="4">
        <v>219</v>
      </c>
      <c r="E72" s="4" t="s">
        <v>682</v>
      </c>
    </row>
    <row r="73" spans="1:6" x14ac:dyDescent="0.25">
      <c r="A73" s="2" t="s">
        <v>402</v>
      </c>
      <c r="B73" s="1" t="s">
        <v>403</v>
      </c>
      <c r="C73" s="1" t="s">
        <v>21</v>
      </c>
      <c r="D73" s="4">
        <v>237</v>
      </c>
      <c r="E73" s="4" t="s">
        <v>695</v>
      </c>
    </row>
    <row r="74" spans="1:6" x14ac:dyDescent="0.25">
      <c r="A74" s="2" t="s">
        <v>406</v>
      </c>
      <c r="B74" s="1" t="s">
        <v>407</v>
      </c>
      <c r="C74" s="1" t="s">
        <v>21</v>
      </c>
      <c r="D74" s="4">
        <v>214</v>
      </c>
      <c r="E74" s="4" t="s">
        <v>696</v>
      </c>
    </row>
    <row r="75" spans="1:6" x14ac:dyDescent="0.25">
      <c r="A75" s="2" t="s">
        <v>414</v>
      </c>
      <c r="B75" s="1" t="s">
        <v>415</v>
      </c>
      <c r="C75" s="1" t="s">
        <v>21</v>
      </c>
      <c r="D75" s="4" t="s">
        <v>605</v>
      </c>
      <c r="E75" s="4" t="s">
        <v>658</v>
      </c>
    </row>
    <row r="76" spans="1:6" x14ac:dyDescent="0.25">
      <c r="A76" s="2" t="s">
        <v>424</v>
      </c>
      <c r="B76" s="1" t="s">
        <v>425</v>
      </c>
      <c r="C76" s="1" t="s">
        <v>21</v>
      </c>
      <c r="D76" s="4">
        <v>17</v>
      </c>
      <c r="E76" s="4" t="s">
        <v>697</v>
      </c>
    </row>
    <row r="77" spans="1:6" x14ac:dyDescent="0.25">
      <c r="A77" s="2" t="s">
        <v>430</v>
      </c>
      <c r="B77" s="1" t="s">
        <v>431</v>
      </c>
      <c r="C77" s="1" t="s">
        <v>21</v>
      </c>
      <c r="D77" s="4">
        <v>274</v>
      </c>
      <c r="E77" s="4" t="s">
        <v>698</v>
      </c>
    </row>
    <row r="78" spans="1:6" x14ac:dyDescent="0.25">
      <c r="A78" s="2" t="s">
        <v>438</v>
      </c>
      <c r="B78" s="1" t="s">
        <v>439</v>
      </c>
      <c r="C78" s="1" t="s">
        <v>21</v>
      </c>
      <c r="D78" s="4" t="s">
        <v>543</v>
      </c>
      <c r="E78" s="4" t="s">
        <v>647</v>
      </c>
      <c r="F78" s="4" t="s">
        <v>547</v>
      </c>
    </row>
    <row r="79" spans="1:6" x14ac:dyDescent="0.25">
      <c r="A79" s="2" t="s">
        <v>448</v>
      </c>
      <c r="B79" s="1" t="s">
        <v>449</v>
      </c>
      <c r="C79" s="1" t="s">
        <v>21</v>
      </c>
      <c r="D79" s="4">
        <v>256</v>
      </c>
      <c r="E79" s="4" t="s">
        <v>675</v>
      </c>
    </row>
    <row r="80" spans="1:6" x14ac:dyDescent="0.25">
      <c r="A80" s="2" t="s">
        <v>452</v>
      </c>
      <c r="B80" s="1" t="s">
        <v>453</v>
      </c>
      <c r="C80" s="1" t="s">
        <v>21</v>
      </c>
      <c r="D80" s="4">
        <v>49</v>
      </c>
      <c r="E80" s="4" t="s">
        <v>699</v>
      </c>
    </row>
    <row r="81" spans="1:6" x14ac:dyDescent="0.25">
      <c r="A81" s="2" t="s">
        <v>466</v>
      </c>
      <c r="B81" s="1" t="s">
        <v>467</v>
      </c>
      <c r="C81" s="1" t="s">
        <v>21</v>
      </c>
      <c r="D81" s="4" t="s">
        <v>606</v>
      </c>
      <c r="E81" s="4" t="s">
        <v>657</v>
      </c>
      <c r="F81" s="4" t="s">
        <v>607</v>
      </c>
    </row>
    <row r="82" spans="1:6" x14ac:dyDescent="0.25">
      <c r="A82" s="2" t="s">
        <v>468</v>
      </c>
      <c r="B82" s="1" t="s">
        <v>469</v>
      </c>
      <c r="C82" s="1" t="s">
        <v>21</v>
      </c>
      <c r="D82" s="4" t="s">
        <v>553</v>
      </c>
      <c r="E82" s="4" t="s">
        <v>700</v>
      </c>
    </row>
    <row r="83" spans="1:6" x14ac:dyDescent="0.25">
      <c r="A83" s="2" t="s">
        <v>478</v>
      </c>
      <c r="B83" s="1" t="s">
        <v>479</v>
      </c>
      <c r="C83" s="1" t="s">
        <v>21</v>
      </c>
      <c r="D83" s="4" t="s">
        <v>638</v>
      </c>
      <c r="E83" s="4" t="s">
        <v>675</v>
      </c>
      <c r="F83" s="4" t="s">
        <v>639</v>
      </c>
    </row>
    <row r="84" spans="1:6" x14ac:dyDescent="0.25">
      <c r="A84" s="2" t="s">
        <v>458</v>
      </c>
      <c r="B84" s="1" t="s">
        <v>459</v>
      </c>
      <c r="C84" s="1" t="s">
        <v>21</v>
      </c>
      <c r="D84" s="4">
        <v>289</v>
      </c>
      <c r="E84" s="4" t="s">
        <v>679</v>
      </c>
    </row>
    <row r="85" spans="1:6" x14ac:dyDescent="0.25">
      <c r="A85" s="2" t="s">
        <v>488</v>
      </c>
      <c r="B85" s="1" t="s">
        <v>489</v>
      </c>
      <c r="C85" s="1" t="s">
        <v>21</v>
      </c>
      <c r="D85" s="4" t="s">
        <v>539</v>
      </c>
      <c r="E85" s="4" t="s">
        <v>687</v>
      </c>
    </row>
    <row r="86" spans="1:6" x14ac:dyDescent="0.25">
      <c r="A86" s="2" t="s">
        <v>496</v>
      </c>
      <c r="B86" s="1" t="s">
        <v>497</v>
      </c>
      <c r="C86" s="1" t="s">
        <v>21</v>
      </c>
      <c r="D86" s="4" t="s">
        <v>534</v>
      </c>
      <c r="E86" s="4" t="s">
        <v>684</v>
      </c>
    </row>
    <row r="87" spans="1:6" x14ac:dyDescent="0.25">
      <c r="A87" s="2" t="s">
        <v>571</v>
      </c>
      <c r="B87" s="1" t="s">
        <v>572</v>
      </c>
      <c r="C87" s="2" t="s">
        <v>21</v>
      </c>
      <c r="D87" s="4">
        <v>167</v>
      </c>
      <c r="E87" s="4" t="s">
        <v>701</v>
      </c>
    </row>
    <row r="88" spans="1:6" x14ac:dyDescent="0.25">
      <c r="A88" s="2" t="s">
        <v>575</v>
      </c>
      <c r="B88" s="1" t="s">
        <v>576</v>
      </c>
      <c r="C88" s="2" t="s">
        <v>21</v>
      </c>
      <c r="D88" s="4">
        <v>368</v>
      </c>
    </row>
    <row r="89" spans="1:6" x14ac:dyDescent="0.25">
      <c r="A89" s="2" t="s">
        <v>368</v>
      </c>
      <c r="B89" s="1" t="s">
        <v>369</v>
      </c>
      <c r="C89" s="2" t="s">
        <v>21</v>
      </c>
      <c r="D89" s="4" t="s">
        <v>636</v>
      </c>
      <c r="E89" s="4" t="s">
        <v>659</v>
      </c>
    </row>
    <row r="90" spans="1:6" x14ac:dyDescent="0.25">
      <c r="A90" s="2" t="s">
        <v>436</v>
      </c>
      <c r="B90" s="1" t="s">
        <v>437</v>
      </c>
      <c r="C90" s="1" t="s">
        <v>21</v>
      </c>
      <c r="D90" s="4" t="s">
        <v>596</v>
      </c>
      <c r="E90" s="4" t="s">
        <v>702</v>
      </c>
    </row>
    <row r="91" spans="1:6" x14ac:dyDescent="0.25">
      <c r="A91" s="2" t="s">
        <v>364</v>
      </c>
      <c r="B91" s="1" t="s">
        <v>365</v>
      </c>
      <c r="C91" s="1" t="s">
        <v>21</v>
      </c>
      <c r="D91" s="4" t="s">
        <v>596</v>
      </c>
      <c r="E91" s="4" t="s">
        <v>702</v>
      </c>
      <c r="F91" s="4" t="s">
        <v>611</v>
      </c>
    </row>
    <row r="92" spans="1:6" x14ac:dyDescent="0.25">
      <c r="A92" s="2" t="s">
        <v>482</v>
      </c>
      <c r="B92" s="1" t="s">
        <v>483</v>
      </c>
      <c r="C92" s="1" t="s">
        <v>21</v>
      </c>
      <c r="D92" s="4" t="s">
        <v>605</v>
      </c>
      <c r="E92" s="4" t="s">
        <v>658</v>
      </c>
    </row>
    <row r="93" spans="1:6" x14ac:dyDescent="0.25">
      <c r="A93" s="2" t="s">
        <v>500</v>
      </c>
      <c r="B93" s="1" t="s">
        <v>501</v>
      </c>
      <c r="C93" s="1" t="s">
        <v>550</v>
      </c>
    </row>
    <row r="94" spans="1:6" x14ac:dyDescent="0.25">
      <c r="A94" s="2" t="s">
        <v>102</v>
      </c>
      <c r="B94" s="1" t="s">
        <v>103</v>
      </c>
      <c r="C94" s="1" t="s">
        <v>550</v>
      </c>
    </row>
    <row r="95" spans="1:6" x14ac:dyDescent="0.25">
      <c r="A95" s="2" t="s">
        <v>112</v>
      </c>
      <c r="B95" s="1" t="s">
        <v>113</v>
      </c>
      <c r="C95" s="1" t="s">
        <v>550</v>
      </c>
    </row>
    <row r="96" spans="1:6" x14ac:dyDescent="0.25">
      <c r="A96" s="2" t="s">
        <v>100</v>
      </c>
      <c r="B96" s="1" t="s">
        <v>101</v>
      </c>
      <c r="C96" s="1" t="s">
        <v>550</v>
      </c>
    </row>
    <row r="97" spans="1:6" x14ac:dyDescent="0.25">
      <c r="A97" s="2" t="s">
        <v>100</v>
      </c>
      <c r="B97" s="1" t="s">
        <v>296</v>
      </c>
      <c r="C97" s="1" t="s">
        <v>550</v>
      </c>
    </row>
    <row r="98" spans="1:6" x14ac:dyDescent="0.25">
      <c r="A98" s="2" t="s">
        <v>131</v>
      </c>
      <c r="B98" s="1" t="s">
        <v>132</v>
      </c>
      <c r="C98" s="1" t="s">
        <v>509</v>
      </c>
      <c r="D98" s="4" t="s">
        <v>529</v>
      </c>
      <c r="E98" s="4" t="s">
        <v>666</v>
      </c>
      <c r="F98" s="4" t="s">
        <v>729</v>
      </c>
    </row>
    <row r="99" spans="1:6" x14ac:dyDescent="0.25">
      <c r="A99" s="2" t="s">
        <v>139</v>
      </c>
      <c r="B99" s="1" t="s">
        <v>140</v>
      </c>
      <c r="C99" s="1" t="s">
        <v>550</v>
      </c>
    </row>
    <row r="100" spans="1:6" x14ac:dyDescent="0.25">
      <c r="A100" s="2" t="s">
        <v>208</v>
      </c>
      <c r="B100" s="1" t="s">
        <v>209</v>
      </c>
      <c r="C100" s="1" t="s">
        <v>550</v>
      </c>
    </row>
    <row r="101" spans="1:6" x14ac:dyDescent="0.25">
      <c r="A101" s="2" t="s">
        <v>234</v>
      </c>
      <c r="B101" s="1" t="s">
        <v>235</v>
      </c>
      <c r="C101" s="1" t="s">
        <v>550</v>
      </c>
    </row>
    <row r="102" spans="1:6" x14ac:dyDescent="0.25">
      <c r="A102" s="2" t="s">
        <v>356</v>
      </c>
      <c r="B102" s="1" t="s">
        <v>357</v>
      </c>
      <c r="C102" s="1" t="s">
        <v>550</v>
      </c>
    </row>
    <row r="103" spans="1:6" x14ac:dyDescent="0.25">
      <c r="A103" s="2" t="s">
        <v>360</v>
      </c>
      <c r="B103" s="1" t="s">
        <v>361</v>
      </c>
      <c r="C103" s="1" t="s">
        <v>550</v>
      </c>
    </row>
    <row r="104" spans="1:6" x14ac:dyDescent="0.25">
      <c r="A104" s="2" t="s">
        <v>376</v>
      </c>
      <c r="B104" s="1" t="s">
        <v>377</v>
      </c>
      <c r="C104" s="1" t="s">
        <v>550</v>
      </c>
    </row>
    <row r="105" spans="1:6" x14ac:dyDescent="0.25">
      <c r="A105" s="2" t="s">
        <v>420</v>
      </c>
      <c r="B105" s="1" t="s">
        <v>421</v>
      </c>
      <c r="C105" s="1" t="s">
        <v>550</v>
      </c>
    </row>
    <row r="106" spans="1:6" x14ac:dyDescent="0.25">
      <c r="A106" s="2" t="s">
        <v>410</v>
      </c>
      <c r="B106" s="1" t="s">
        <v>411</v>
      </c>
      <c r="C106" s="1" t="s">
        <v>550</v>
      </c>
    </row>
    <row r="107" spans="1:6" x14ac:dyDescent="0.25">
      <c r="A107" s="2" t="s">
        <v>422</v>
      </c>
      <c r="B107" s="1" t="s">
        <v>423</v>
      </c>
      <c r="C107" s="1" t="s">
        <v>550</v>
      </c>
    </row>
    <row r="108" spans="1:6" x14ac:dyDescent="0.25">
      <c r="A108" s="2" t="s">
        <v>440</v>
      </c>
      <c r="B108" s="1" t="s">
        <v>441</v>
      </c>
      <c r="C108" s="1" t="s">
        <v>550</v>
      </c>
    </row>
    <row r="109" spans="1:6" x14ac:dyDescent="0.25">
      <c r="A109" s="1" t="s">
        <v>597</v>
      </c>
      <c r="B109" s="1" t="s">
        <v>30</v>
      </c>
      <c r="C109" s="1" t="s">
        <v>509</v>
      </c>
      <c r="D109" s="4" t="s">
        <v>506</v>
      </c>
      <c r="E109" s="4" t="s">
        <v>648</v>
      </c>
    </row>
    <row r="110" spans="1:6" x14ac:dyDescent="0.25">
      <c r="A110" s="1" t="s">
        <v>38</v>
      </c>
      <c r="B110" s="1" t="s">
        <v>39</v>
      </c>
      <c r="C110" s="1" t="s">
        <v>509</v>
      </c>
      <c r="D110" s="4">
        <v>19</v>
      </c>
      <c r="E110" s="4" t="s">
        <v>683</v>
      </c>
    </row>
    <row r="111" spans="1:6" x14ac:dyDescent="0.25">
      <c r="A111" s="1" t="s">
        <v>82</v>
      </c>
      <c r="B111" s="1" t="s">
        <v>83</v>
      </c>
      <c r="C111" s="1" t="s">
        <v>509</v>
      </c>
      <c r="D111" s="4" t="s">
        <v>600</v>
      </c>
      <c r="E111" s="4" t="s">
        <v>690</v>
      </c>
    </row>
    <row r="112" spans="1:6" x14ac:dyDescent="0.25">
      <c r="A112" s="2" t="s">
        <v>159</v>
      </c>
      <c r="B112" s="1" t="s">
        <v>160</v>
      </c>
      <c r="C112" s="1" t="s">
        <v>509</v>
      </c>
      <c r="D112" s="4" t="s">
        <v>517</v>
      </c>
      <c r="E112" s="4" t="s">
        <v>646</v>
      </c>
    </row>
    <row r="113" spans="1:6" x14ac:dyDescent="0.25">
      <c r="A113" s="2" t="s">
        <v>603</v>
      </c>
      <c r="B113" s="1" t="s">
        <v>179</v>
      </c>
      <c r="C113" s="1" t="s">
        <v>509</v>
      </c>
      <c r="D113" s="4" t="s">
        <v>543</v>
      </c>
      <c r="E113" s="4" t="s">
        <v>647</v>
      </c>
      <c r="F113" s="4" t="s">
        <v>604</v>
      </c>
    </row>
    <row r="114" spans="1:6" x14ac:dyDescent="0.25">
      <c r="A114" s="2" t="s">
        <v>180</v>
      </c>
      <c r="B114" s="1" t="s">
        <v>181</v>
      </c>
      <c r="C114" s="1" t="s">
        <v>509</v>
      </c>
      <c r="D114" s="4" t="s">
        <v>605</v>
      </c>
      <c r="E114" s="4" t="s">
        <v>658</v>
      </c>
      <c r="F114" s="4" t="s">
        <v>608</v>
      </c>
    </row>
    <row r="115" spans="1:6" x14ac:dyDescent="0.25">
      <c r="A115" s="2" t="s">
        <v>230</v>
      </c>
      <c r="B115" s="1" t="s">
        <v>231</v>
      </c>
      <c r="C115" s="1" t="s">
        <v>509</v>
      </c>
      <c r="D115" s="4" t="s">
        <v>526</v>
      </c>
      <c r="E115" s="4" t="s">
        <v>654</v>
      </c>
    </row>
    <row r="116" spans="1:6" x14ac:dyDescent="0.25">
      <c r="A116" s="2" t="s">
        <v>282</v>
      </c>
      <c r="B116" s="1" t="s">
        <v>283</v>
      </c>
      <c r="C116" s="1" t="s">
        <v>509</v>
      </c>
      <c r="D116" s="4">
        <v>285</v>
      </c>
      <c r="E116" s="4" t="s">
        <v>646</v>
      </c>
    </row>
    <row r="117" spans="1:6" x14ac:dyDescent="0.25">
      <c r="A117" s="2" t="s">
        <v>313</v>
      </c>
      <c r="B117" s="1" t="s">
        <v>314</v>
      </c>
      <c r="C117" s="1" t="s">
        <v>509</v>
      </c>
      <c r="D117" s="4" t="s">
        <v>595</v>
      </c>
      <c r="E117" s="4" t="s">
        <v>703</v>
      </c>
    </row>
    <row r="118" spans="1:6" x14ac:dyDescent="0.25">
      <c r="A118" s="2" t="s">
        <v>428</v>
      </c>
      <c r="B118" s="1" t="s">
        <v>429</v>
      </c>
      <c r="C118" s="1" t="s">
        <v>509</v>
      </c>
      <c r="D118" s="4">
        <v>267</v>
      </c>
      <c r="E118" s="4" t="s">
        <v>655</v>
      </c>
      <c r="F118" s="4" t="s">
        <v>614</v>
      </c>
    </row>
    <row r="119" spans="1:6" x14ac:dyDescent="0.25">
      <c r="A119" s="2" t="s">
        <v>454</v>
      </c>
      <c r="B119" s="1" t="s">
        <v>455</v>
      </c>
      <c r="C119" s="1" t="s">
        <v>509</v>
      </c>
      <c r="D119" s="4" t="s">
        <v>627</v>
      </c>
      <c r="E119" s="4" t="s">
        <v>649</v>
      </c>
    </row>
    <row r="120" spans="1:6" x14ac:dyDescent="0.25">
      <c r="A120" s="2" t="s">
        <v>464</v>
      </c>
      <c r="B120" s="1" t="s">
        <v>465</v>
      </c>
      <c r="C120" s="1" t="s">
        <v>509</v>
      </c>
      <c r="D120" s="4" t="s">
        <v>636</v>
      </c>
      <c r="E120" s="4" t="s">
        <v>659</v>
      </c>
      <c r="F120" s="4" t="s">
        <v>637</v>
      </c>
    </row>
    <row r="121" spans="1:6" x14ac:dyDescent="0.25">
      <c r="A121" s="2" t="s">
        <v>476</v>
      </c>
      <c r="B121" s="1" t="s">
        <v>477</v>
      </c>
      <c r="C121" s="1" t="s">
        <v>509</v>
      </c>
      <c r="D121" s="4" t="s">
        <v>638</v>
      </c>
      <c r="E121" s="4" t="s">
        <v>675</v>
      </c>
      <c r="F121" s="4" t="s">
        <v>640</v>
      </c>
    </row>
    <row r="122" spans="1:6" x14ac:dyDescent="0.25">
      <c r="A122" s="2" t="s">
        <v>492</v>
      </c>
      <c r="B122" s="1" t="s">
        <v>493</v>
      </c>
      <c r="C122" s="1" t="s">
        <v>509</v>
      </c>
      <c r="D122" s="4" t="s">
        <v>514</v>
      </c>
      <c r="E122" s="4" t="s">
        <v>656</v>
      </c>
    </row>
    <row r="123" spans="1:6" x14ac:dyDescent="0.25">
      <c r="A123" s="2" t="s">
        <v>573</v>
      </c>
      <c r="B123" s="1" t="s">
        <v>574</v>
      </c>
      <c r="C123" s="2" t="s">
        <v>509</v>
      </c>
      <c r="D123" s="4" t="s">
        <v>641</v>
      </c>
      <c r="E123" s="4" t="s">
        <v>662</v>
      </c>
      <c r="F123" s="4" t="s">
        <v>642</v>
      </c>
    </row>
    <row r="124" spans="1:6" x14ac:dyDescent="0.25">
      <c r="A124" s="2" t="s">
        <v>577</v>
      </c>
      <c r="B124" s="1" t="s">
        <v>578</v>
      </c>
      <c r="C124" s="2" t="s">
        <v>509</v>
      </c>
      <c r="D124" s="4" t="s">
        <v>638</v>
      </c>
      <c r="E124" s="4" t="s">
        <v>675</v>
      </c>
      <c r="F124" s="4" t="s">
        <v>643</v>
      </c>
    </row>
    <row r="125" spans="1:6" x14ac:dyDescent="0.25">
      <c r="A125" s="2" t="s">
        <v>581</v>
      </c>
      <c r="B125" s="1" t="s">
        <v>582</v>
      </c>
      <c r="C125" s="2" t="s">
        <v>509</v>
      </c>
      <c r="D125" s="4" t="s">
        <v>606</v>
      </c>
      <c r="E125" s="4" t="s">
        <v>657</v>
      </c>
      <c r="F125" s="4" t="s">
        <v>644</v>
      </c>
    </row>
    <row r="126" spans="1:6" x14ac:dyDescent="0.25">
      <c r="A126" s="2" t="s">
        <v>114</v>
      </c>
      <c r="B126" s="1" t="s">
        <v>115</v>
      </c>
      <c r="C126" s="1" t="s">
        <v>509</v>
      </c>
      <c r="D126" s="4">
        <v>368</v>
      </c>
    </row>
    <row r="127" spans="1:6" x14ac:dyDescent="0.25">
      <c r="A127" s="2" t="s">
        <v>354</v>
      </c>
      <c r="B127" s="1" t="s">
        <v>355</v>
      </c>
      <c r="C127" s="1" t="s">
        <v>509</v>
      </c>
      <c r="D127" s="4" t="s">
        <v>595</v>
      </c>
      <c r="E127" s="4" t="s">
        <v>703</v>
      </c>
    </row>
    <row r="128" spans="1:6" x14ac:dyDescent="0.25">
      <c r="A128" s="11" t="s">
        <v>44</v>
      </c>
      <c r="B128" s="1" t="s">
        <v>45</v>
      </c>
      <c r="C128" s="1" t="s">
        <v>509</v>
      </c>
      <c r="E128" s="4" t="s">
        <v>647</v>
      </c>
    </row>
    <row r="129" spans="1:5" x14ac:dyDescent="0.25">
      <c r="A129" s="1" t="s">
        <v>52</v>
      </c>
      <c r="B129" s="1" t="s">
        <v>53</v>
      </c>
      <c r="C129" s="1" t="s">
        <v>509</v>
      </c>
      <c r="D129" s="4">
        <v>149</v>
      </c>
      <c r="E129" s="4" t="s">
        <v>704</v>
      </c>
    </row>
    <row r="130" spans="1:5" x14ac:dyDescent="0.25">
      <c r="A130" s="1" t="s">
        <v>54</v>
      </c>
      <c r="B130" s="1" t="s">
        <v>55</v>
      </c>
      <c r="C130" s="1" t="s">
        <v>509</v>
      </c>
      <c r="D130" s="4" t="s">
        <v>513</v>
      </c>
      <c r="E130" s="4" t="s">
        <v>669</v>
      </c>
    </row>
    <row r="131" spans="1:5" x14ac:dyDescent="0.25">
      <c r="A131" s="11" t="s">
        <v>72</v>
      </c>
      <c r="B131" s="1" t="s">
        <v>73</v>
      </c>
      <c r="C131" s="1" t="s">
        <v>509</v>
      </c>
      <c r="D131" s="4" t="s">
        <v>515</v>
      </c>
      <c r="E131" s="4" t="s">
        <v>675</v>
      </c>
    </row>
    <row r="132" spans="1:5" x14ac:dyDescent="0.25">
      <c r="A132" s="11" t="s">
        <v>74</v>
      </c>
      <c r="B132" s="1" t="s">
        <v>75</v>
      </c>
      <c r="C132" s="1" t="s">
        <v>509</v>
      </c>
      <c r="D132" s="4">
        <v>292</v>
      </c>
      <c r="E132" s="4" t="s">
        <v>689</v>
      </c>
    </row>
    <row r="133" spans="1:5" x14ac:dyDescent="0.25">
      <c r="A133" s="11" t="s">
        <v>76</v>
      </c>
      <c r="B133" s="1" t="s">
        <v>77</v>
      </c>
      <c r="C133" s="1" t="s">
        <v>509</v>
      </c>
      <c r="D133" s="4">
        <v>292</v>
      </c>
      <c r="E133" s="4" t="s">
        <v>689</v>
      </c>
    </row>
    <row r="134" spans="1:5" x14ac:dyDescent="0.25">
      <c r="A134" s="11" t="s">
        <v>86</v>
      </c>
      <c r="B134" s="1" t="s">
        <v>87</v>
      </c>
      <c r="C134" s="1" t="s">
        <v>509</v>
      </c>
      <c r="D134" s="4">
        <v>231</v>
      </c>
      <c r="E134" s="4" t="s">
        <v>670</v>
      </c>
    </row>
    <row r="135" spans="1:5" x14ac:dyDescent="0.25">
      <c r="A135" s="2" t="s">
        <v>88</v>
      </c>
      <c r="B135" s="1" t="s">
        <v>89</v>
      </c>
      <c r="C135" s="1" t="s">
        <v>509</v>
      </c>
      <c r="D135" s="4" t="s">
        <v>511</v>
      </c>
      <c r="E135" s="4" t="s">
        <v>705</v>
      </c>
    </row>
    <row r="136" spans="1:5" x14ac:dyDescent="0.25">
      <c r="A136" s="2" t="s">
        <v>92</v>
      </c>
      <c r="B136" s="1" t="s">
        <v>93</v>
      </c>
      <c r="C136" s="1" t="s">
        <v>509</v>
      </c>
      <c r="D136" s="4">
        <v>43</v>
      </c>
      <c r="E136" s="4" t="s">
        <v>664</v>
      </c>
    </row>
    <row r="137" spans="1:5" x14ac:dyDescent="0.25">
      <c r="A137" s="2" t="s">
        <v>94</v>
      </c>
      <c r="B137" s="1" t="s">
        <v>95</v>
      </c>
      <c r="C137" s="1" t="s">
        <v>509</v>
      </c>
      <c r="D137" s="4" t="s">
        <v>599</v>
      </c>
      <c r="E137" s="4" t="s">
        <v>690</v>
      </c>
    </row>
    <row r="138" spans="1:5" x14ac:dyDescent="0.25">
      <c r="A138" s="2" t="s">
        <v>96</v>
      </c>
      <c r="B138" s="1" t="s">
        <v>97</v>
      </c>
      <c r="C138" s="1" t="s">
        <v>509</v>
      </c>
      <c r="D138" s="4" t="s">
        <v>596</v>
      </c>
      <c r="E138" s="4" t="s">
        <v>702</v>
      </c>
    </row>
    <row r="139" spans="1:5" x14ac:dyDescent="0.25">
      <c r="A139" s="2" t="s">
        <v>135</v>
      </c>
      <c r="B139" s="1" t="s">
        <v>136</v>
      </c>
      <c r="C139" s="1" t="s">
        <v>509</v>
      </c>
      <c r="D139" s="4" t="s">
        <v>515</v>
      </c>
      <c r="E139" s="4" t="s">
        <v>675</v>
      </c>
    </row>
    <row r="140" spans="1:5" x14ac:dyDescent="0.25">
      <c r="A140" s="2" t="s">
        <v>141</v>
      </c>
      <c r="B140" s="1" t="s">
        <v>142</v>
      </c>
      <c r="C140" s="1" t="s">
        <v>509</v>
      </c>
      <c r="D140" s="4">
        <v>278</v>
      </c>
      <c r="E140" s="4" t="s">
        <v>708</v>
      </c>
    </row>
    <row r="141" spans="1:5" x14ac:dyDescent="0.25">
      <c r="A141" s="2" t="s">
        <v>143</v>
      </c>
      <c r="B141" s="1" t="s">
        <v>144</v>
      </c>
      <c r="C141" s="1" t="s">
        <v>509</v>
      </c>
      <c r="D141" s="4" t="s">
        <v>605</v>
      </c>
      <c r="E141" s="4" t="s">
        <v>658</v>
      </c>
    </row>
    <row r="142" spans="1:5" x14ac:dyDescent="0.25">
      <c r="A142" s="2" t="s">
        <v>153</v>
      </c>
      <c r="B142" s="1" t="s">
        <v>154</v>
      </c>
      <c r="C142" s="1" t="s">
        <v>509</v>
      </c>
      <c r="D142" s="4">
        <v>248</v>
      </c>
      <c r="E142" s="4" t="s">
        <v>709</v>
      </c>
    </row>
    <row r="143" spans="1:5" x14ac:dyDescent="0.25">
      <c r="A143" s="2" t="s">
        <v>173</v>
      </c>
      <c r="B143" s="1" t="s">
        <v>174</v>
      </c>
      <c r="C143" s="1" t="s">
        <v>509</v>
      </c>
      <c r="D143" s="4" t="s">
        <v>530</v>
      </c>
      <c r="E143" s="4" t="s">
        <v>706</v>
      </c>
    </row>
    <row r="144" spans="1:5" x14ac:dyDescent="0.25">
      <c r="A144" s="2" t="s">
        <v>194</v>
      </c>
      <c r="B144" s="1" t="s">
        <v>195</v>
      </c>
      <c r="C144" s="1" t="s">
        <v>509</v>
      </c>
      <c r="D144" s="4" t="s">
        <v>511</v>
      </c>
      <c r="E144" s="4" t="s">
        <v>705</v>
      </c>
    </row>
    <row r="145" spans="1:8" x14ac:dyDescent="0.25">
      <c r="A145" s="2" t="s">
        <v>204</v>
      </c>
      <c r="B145" s="1" t="s">
        <v>205</v>
      </c>
      <c r="C145" s="1" t="s">
        <v>509</v>
      </c>
      <c r="D145" s="4">
        <v>169</v>
      </c>
      <c r="E145" s="4" t="s">
        <v>692</v>
      </c>
      <c r="H145" t="s">
        <v>569</v>
      </c>
    </row>
    <row r="146" spans="1:8" x14ac:dyDescent="0.25">
      <c r="A146" s="2" t="s">
        <v>206</v>
      </c>
      <c r="B146" s="1" t="s">
        <v>207</v>
      </c>
      <c r="C146" s="1" t="s">
        <v>509</v>
      </c>
      <c r="D146" s="4">
        <v>289</v>
      </c>
      <c r="E146" s="4" t="s">
        <v>679</v>
      </c>
    </row>
    <row r="147" spans="1:8" x14ac:dyDescent="0.25">
      <c r="A147" s="2" t="s">
        <v>214</v>
      </c>
      <c r="B147" s="1" t="s">
        <v>215</v>
      </c>
      <c r="C147" s="1" t="s">
        <v>509</v>
      </c>
      <c r="D147" s="4" t="s">
        <v>506</v>
      </c>
      <c r="E147" s="4" t="s">
        <v>648</v>
      </c>
    </row>
    <row r="148" spans="1:8" x14ac:dyDescent="0.25">
      <c r="A148" s="2" t="s">
        <v>218</v>
      </c>
      <c r="B148" s="1" t="s">
        <v>219</v>
      </c>
      <c r="C148" s="1" t="s">
        <v>509</v>
      </c>
      <c r="D148" s="4" t="s">
        <v>605</v>
      </c>
      <c r="E148" s="4" t="s">
        <v>658</v>
      </c>
    </row>
    <row r="149" spans="1:8" x14ac:dyDescent="0.25">
      <c r="A149" s="2" t="s">
        <v>242</v>
      </c>
      <c r="B149" s="1" t="s">
        <v>243</v>
      </c>
      <c r="C149" s="1" t="s">
        <v>509</v>
      </c>
      <c r="D149" s="4" t="s">
        <v>508</v>
      </c>
      <c r="E149" s="4" t="s">
        <v>650</v>
      </c>
    </row>
    <row r="150" spans="1:8" x14ac:dyDescent="0.25">
      <c r="A150" s="2" t="s">
        <v>244</v>
      </c>
      <c r="B150" s="1" t="s">
        <v>245</v>
      </c>
      <c r="C150" s="1" t="s">
        <v>509</v>
      </c>
      <c r="D150" s="4">
        <v>267</v>
      </c>
      <c r="E150" s="4" t="s">
        <v>655</v>
      </c>
    </row>
    <row r="151" spans="1:8" x14ac:dyDescent="0.25">
      <c r="A151" s="2" t="s">
        <v>228</v>
      </c>
      <c r="B151" s="1" t="s">
        <v>229</v>
      </c>
      <c r="C151" s="1" t="s">
        <v>509</v>
      </c>
      <c r="D151" s="4">
        <v>267</v>
      </c>
      <c r="E151" s="4" t="s">
        <v>655</v>
      </c>
    </row>
    <row r="152" spans="1:8" x14ac:dyDescent="0.25">
      <c r="A152" s="2" t="s">
        <v>220</v>
      </c>
      <c r="B152" s="1" t="s">
        <v>221</v>
      </c>
      <c r="C152" s="1" t="s">
        <v>509</v>
      </c>
      <c r="D152" s="4">
        <v>81</v>
      </c>
      <c r="E152" s="4" t="s">
        <v>652</v>
      </c>
    </row>
    <row r="153" spans="1:8" x14ac:dyDescent="0.25">
      <c r="A153" s="2" t="s">
        <v>236</v>
      </c>
      <c r="B153" s="1" t="s">
        <v>237</v>
      </c>
      <c r="C153" s="1" t="s">
        <v>509</v>
      </c>
      <c r="D153" s="4" t="s">
        <v>531</v>
      </c>
      <c r="E153" s="4" t="s">
        <v>707</v>
      </c>
    </row>
    <row r="154" spans="1:8" x14ac:dyDescent="0.25">
      <c r="A154" s="2" t="s">
        <v>240</v>
      </c>
      <c r="B154" s="1" t="s">
        <v>241</v>
      </c>
      <c r="C154" s="1" t="s">
        <v>509</v>
      </c>
      <c r="D154" s="4">
        <v>302</v>
      </c>
      <c r="E154" s="4" t="s">
        <v>649</v>
      </c>
    </row>
    <row r="155" spans="1:8" x14ac:dyDescent="0.25">
      <c r="A155" s="2" t="s">
        <v>238</v>
      </c>
      <c r="B155" s="1" t="s">
        <v>239</v>
      </c>
      <c r="C155" s="1" t="s">
        <v>509</v>
      </c>
      <c r="D155" s="4">
        <v>108</v>
      </c>
      <c r="E155" s="4" t="s">
        <v>710</v>
      </c>
    </row>
    <row r="156" spans="1:8" x14ac:dyDescent="0.25">
      <c r="A156" s="2" t="s">
        <v>252</v>
      </c>
      <c r="B156" s="1" t="s">
        <v>253</v>
      </c>
      <c r="C156" s="1" t="s">
        <v>509</v>
      </c>
      <c r="D156" s="4">
        <v>35</v>
      </c>
      <c r="E156" s="4" t="s">
        <v>711</v>
      </c>
    </row>
    <row r="157" spans="1:8" x14ac:dyDescent="0.25">
      <c r="A157" s="2" t="s">
        <v>256</v>
      </c>
      <c r="B157" s="1" t="s">
        <v>257</v>
      </c>
      <c r="C157" s="1" t="s">
        <v>509</v>
      </c>
      <c r="D157" s="4">
        <v>237</v>
      </c>
      <c r="E157" s="4" t="s">
        <v>695</v>
      </c>
      <c r="G157" s="9"/>
    </row>
    <row r="158" spans="1:8" x14ac:dyDescent="0.25">
      <c r="A158" s="2" t="s">
        <v>254</v>
      </c>
      <c r="B158" s="1" t="s">
        <v>255</v>
      </c>
      <c r="C158" s="1" t="s">
        <v>509</v>
      </c>
      <c r="D158" s="4" t="s">
        <v>533</v>
      </c>
      <c r="E158" s="4" t="s">
        <v>712</v>
      </c>
    </row>
    <row r="159" spans="1:8" x14ac:dyDescent="0.25">
      <c r="A159" s="2" t="s">
        <v>262</v>
      </c>
      <c r="B159" s="1" t="s">
        <v>263</v>
      </c>
      <c r="C159" s="1" t="s">
        <v>509</v>
      </c>
      <c r="D159" s="4" t="s">
        <v>514</v>
      </c>
      <c r="E159" s="4" t="s">
        <v>656</v>
      </c>
    </row>
    <row r="160" spans="1:8" x14ac:dyDescent="0.25">
      <c r="A160" s="2" t="s">
        <v>264</v>
      </c>
      <c r="B160" s="1" t="s">
        <v>265</v>
      </c>
      <c r="C160" s="1" t="s">
        <v>509</v>
      </c>
      <c r="D160" s="4">
        <v>35</v>
      </c>
      <c r="E160" s="4" t="s">
        <v>711</v>
      </c>
    </row>
    <row r="161" spans="1:6" x14ac:dyDescent="0.25">
      <c r="A161" s="2" t="s">
        <v>270</v>
      </c>
      <c r="B161" s="1" t="s">
        <v>271</v>
      </c>
      <c r="C161" s="1" t="s">
        <v>509</v>
      </c>
      <c r="D161" s="4" t="s">
        <v>508</v>
      </c>
      <c r="E161" s="4" t="s">
        <v>650</v>
      </c>
    </row>
    <row r="162" spans="1:6" x14ac:dyDescent="0.25">
      <c r="A162" s="2" t="s">
        <v>274</v>
      </c>
      <c r="B162" s="1" t="s">
        <v>275</v>
      </c>
      <c r="C162" s="1" t="s">
        <v>509</v>
      </c>
      <c r="D162" s="4" t="s">
        <v>534</v>
      </c>
      <c r="E162" s="4" t="s">
        <v>684</v>
      </c>
    </row>
    <row r="163" spans="1:6" x14ac:dyDescent="0.25">
      <c r="A163" s="2" t="s">
        <v>276</v>
      </c>
      <c r="B163" s="1" t="s">
        <v>277</v>
      </c>
      <c r="C163" s="1" t="s">
        <v>509</v>
      </c>
      <c r="D163" s="4">
        <v>278</v>
      </c>
      <c r="E163" s="4" t="s">
        <v>708</v>
      </c>
    </row>
    <row r="164" spans="1:6" x14ac:dyDescent="0.25">
      <c r="A164" s="2" t="s">
        <v>278</v>
      </c>
      <c r="B164" s="1" t="s">
        <v>279</v>
      </c>
      <c r="C164" s="1" t="s">
        <v>509</v>
      </c>
      <c r="D164" s="4">
        <v>258</v>
      </c>
      <c r="E164" s="4" t="s">
        <v>651</v>
      </c>
    </row>
    <row r="165" spans="1:6" x14ac:dyDescent="0.25">
      <c r="A165" s="2" t="s">
        <v>284</v>
      </c>
      <c r="B165" s="1" t="s">
        <v>285</v>
      </c>
      <c r="C165" s="1" t="s">
        <v>509</v>
      </c>
      <c r="D165" s="4">
        <v>90</v>
      </c>
      <c r="E165" s="4" t="s">
        <v>713</v>
      </c>
    </row>
    <row r="166" spans="1:6" x14ac:dyDescent="0.25">
      <c r="A166" s="2" t="s">
        <v>288</v>
      </c>
      <c r="B166" s="1" t="s">
        <v>289</v>
      </c>
      <c r="C166" s="1" t="s">
        <v>509</v>
      </c>
      <c r="D166" s="4">
        <v>267</v>
      </c>
      <c r="E166" s="4" t="s">
        <v>655</v>
      </c>
    </row>
    <row r="167" spans="1:6" x14ac:dyDescent="0.25">
      <c r="A167" s="2" t="s">
        <v>290</v>
      </c>
      <c r="B167" s="1" t="s">
        <v>291</v>
      </c>
      <c r="C167" s="1" t="s">
        <v>509</v>
      </c>
      <c r="D167" s="4">
        <v>49</v>
      </c>
      <c r="E167" s="4" t="s">
        <v>699</v>
      </c>
    </row>
    <row r="168" spans="1:6" x14ac:dyDescent="0.25">
      <c r="A168" s="2" t="s">
        <v>292</v>
      </c>
      <c r="B168" s="1" t="s">
        <v>293</v>
      </c>
      <c r="C168" s="1" t="s">
        <v>509</v>
      </c>
      <c r="D168" s="4" t="s">
        <v>523</v>
      </c>
      <c r="E168" s="4" t="s">
        <v>653</v>
      </c>
      <c r="F168" s="4" t="s">
        <v>535</v>
      </c>
    </row>
    <row r="169" spans="1:6" x14ac:dyDescent="0.25">
      <c r="A169" s="2" t="s">
        <v>309</v>
      </c>
      <c r="B169" s="1" t="s">
        <v>310</v>
      </c>
      <c r="C169" s="1" t="s">
        <v>509</v>
      </c>
      <c r="D169" s="4">
        <v>274</v>
      </c>
      <c r="E169" s="4" t="s">
        <v>698</v>
      </c>
    </row>
    <row r="170" spans="1:6" x14ac:dyDescent="0.25">
      <c r="A170" s="2" t="s">
        <v>311</v>
      </c>
      <c r="B170" s="1" t="s">
        <v>312</v>
      </c>
      <c r="C170" s="1" t="s">
        <v>509</v>
      </c>
      <c r="D170" s="4">
        <v>144</v>
      </c>
      <c r="E170" s="4" t="s">
        <v>714</v>
      </c>
    </row>
    <row r="171" spans="1:6" x14ac:dyDescent="0.25">
      <c r="A171" s="2" t="s">
        <v>315</v>
      </c>
      <c r="B171" s="1" t="s">
        <v>316</v>
      </c>
      <c r="C171" s="1" t="s">
        <v>509</v>
      </c>
      <c r="D171" s="4" t="s">
        <v>529</v>
      </c>
      <c r="E171" s="4" t="s">
        <v>666</v>
      </c>
      <c r="F171" s="4" t="s">
        <v>537</v>
      </c>
    </row>
    <row r="172" spans="1:6" x14ac:dyDescent="0.25">
      <c r="A172" s="2" t="s">
        <v>317</v>
      </c>
      <c r="B172" s="1" t="s">
        <v>318</v>
      </c>
      <c r="C172" s="1" t="s">
        <v>509</v>
      </c>
      <c r="D172" s="4" t="s">
        <v>515</v>
      </c>
      <c r="E172" s="4" t="s">
        <v>675</v>
      </c>
    </row>
    <row r="173" spans="1:6" x14ac:dyDescent="0.25">
      <c r="A173" s="2" t="s">
        <v>319</v>
      </c>
      <c r="B173" s="1" t="s">
        <v>320</v>
      </c>
      <c r="C173" s="1" t="s">
        <v>509</v>
      </c>
      <c r="D173" s="4">
        <v>168</v>
      </c>
      <c r="E173" s="4" t="s">
        <v>692</v>
      </c>
    </row>
    <row r="174" spans="1:6" x14ac:dyDescent="0.25">
      <c r="A174" s="2" t="s">
        <v>321</v>
      </c>
      <c r="B174" s="1" t="s">
        <v>322</v>
      </c>
      <c r="C174" s="1" t="s">
        <v>509</v>
      </c>
      <c r="D174" s="4">
        <v>274</v>
      </c>
      <c r="E174" s="4" t="s">
        <v>698</v>
      </c>
    </row>
    <row r="175" spans="1:6" x14ac:dyDescent="0.25">
      <c r="A175" s="2" t="s">
        <v>325</v>
      </c>
      <c r="B175" s="1" t="s">
        <v>326</v>
      </c>
      <c r="C175" s="1" t="s">
        <v>509</v>
      </c>
      <c r="D175" s="4">
        <v>274</v>
      </c>
      <c r="E175" s="4" t="s">
        <v>698</v>
      </c>
    </row>
    <row r="176" spans="1:6" x14ac:dyDescent="0.25">
      <c r="A176" s="2" t="s">
        <v>342</v>
      </c>
      <c r="B176" s="1" t="s">
        <v>343</v>
      </c>
      <c r="C176" s="1" t="s">
        <v>509</v>
      </c>
      <c r="D176" s="4">
        <v>121</v>
      </c>
      <c r="E176" s="4" t="s">
        <v>715</v>
      </c>
    </row>
    <row r="177" spans="1:5" x14ac:dyDescent="0.25">
      <c r="A177" s="2" t="s">
        <v>348</v>
      </c>
      <c r="B177" s="1" t="s">
        <v>349</v>
      </c>
      <c r="C177" s="1" t="s">
        <v>509</v>
      </c>
      <c r="D177" s="4" t="s">
        <v>539</v>
      </c>
      <c r="E177" s="4" t="s">
        <v>687</v>
      </c>
    </row>
    <row r="178" spans="1:5" x14ac:dyDescent="0.25">
      <c r="A178" s="2" t="s">
        <v>352</v>
      </c>
      <c r="B178" s="1" t="s">
        <v>353</v>
      </c>
      <c r="C178" s="1" t="s">
        <v>509</v>
      </c>
      <c r="D178" s="4">
        <v>154</v>
      </c>
      <c r="E178" s="4" t="s">
        <v>716</v>
      </c>
    </row>
    <row r="179" spans="1:5" x14ac:dyDescent="0.25">
      <c r="A179" s="2" t="s">
        <v>372</v>
      </c>
      <c r="B179" s="1" t="s">
        <v>373</v>
      </c>
      <c r="C179" s="1" t="s">
        <v>509</v>
      </c>
      <c r="D179" s="4">
        <v>343</v>
      </c>
      <c r="E179" s="4" t="s">
        <v>717</v>
      </c>
    </row>
    <row r="180" spans="1:5" x14ac:dyDescent="0.25">
      <c r="A180" s="2" t="s">
        <v>392</v>
      </c>
      <c r="B180" s="1" t="s">
        <v>393</v>
      </c>
      <c r="C180" s="1" t="s">
        <v>509</v>
      </c>
      <c r="D180" s="4" t="s">
        <v>531</v>
      </c>
      <c r="E180" s="4" t="s">
        <v>707</v>
      </c>
    </row>
    <row r="181" spans="1:5" x14ac:dyDescent="0.25">
      <c r="A181" s="2" t="s">
        <v>398</v>
      </c>
      <c r="B181" s="1" t="s">
        <v>399</v>
      </c>
      <c r="C181" s="1" t="s">
        <v>509</v>
      </c>
      <c r="D181" s="4" t="s">
        <v>541</v>
      </c>
      <c r="E181" s="4" t="s">
        <v>718</v>
      </c>
    </row>
    <row r="182" spans="1:5" x14ac:dyDescent="0.25">
      <c r="A182" s="2" t="s">
        <v>366</v>
      </c>
      <c r="B182" s="1" t="s">
        <v>367</v>
      </c>
      <c r="C182" s="1" t="s">
        <v>509</v>
      </c>
      <c r="D182" s="4">
        <v>175</v>
      </c>
      <c r="E182" s="4" t="s">
        <v>673</v>
      </c>
    </row>
    <row r="183" spans="1:5" x14ac:dyDescent="0.25">
      <c r="A183" s="2" t="s">
        <v>408</v>
      </c>
      <c r="B183" s="1" t="s">
        <v>409</v>
      </c>
      <c r="C183" s="1" t="s">
        <v>509</v>
      </c>
      <c r="D183" s="4">
        <v>258</v>
      </c>
      <c r="E183" s="4" t="s">
        <v>651</v>
      </c>
    </row>
    <row r="184" spans="1:5" x14ac:dyDescent="0.25">
      <c r="A184" s="2" t="s">
        <v>418</v>
      </c>
      <c r="B184" s="1" t="s">
        <v>419</v>
      </c>
      <c r="C184" s="1" t="s">
        <v>509</v>
      </c>
      <c r="D184" s="4">
        <v>149</v>
      </c>
      <c r="E184" s="4" t="s">
        <v>704</v>
      </c>
    </row>
    <row r="185" spans="1:5" x14ac:dyDescent="0.25">
      <c r="A185" s="2" t="s">
        <v>426</v>
      </c>
      <c r="B185" s="1" t="s">
        <v>427</v>
      </c>
      <c r="C185" s="1" t="s">
        <v>509</v>
      </c>
      <c r="D185" s="4" t="s">
        <v>517</v>
      </c>
      <c r="E185" s="4" t="s">
        <v>646</v>
      </c>
    </row>
    <row r="186" spans="1:5" x14ac:dyDescent="0.25">
      <c r="A186" s="2" t="s">
        <v>434</v>
      </c>
      <c r="B186" s="1" t="s">
        <v>435</v>
      </c>
      <c r="C186" s="1" t="s">
        <v>509</v>
      </c>
      <c r="D186" s="4">
        <v>42</v>
      </c>
      <c r="E186" s="4" t="s">
        <v>719</v>
      </c>
    </row>
    <row r="187" spans="1:5" x14ac:dyDescent="0.25">
      <c r="A187" s="2" t="s">
        <v>442</v>
      </c>
      <c r="B187" s="1" t="s">
        <v>443</v>
      </c>
      <c r="C187" s="1" t="s">
        <v>509</v>
      </c>
      <c r="D187" s="4" t="s">
        <v>606</v>
      </c>
      <c r="E187" s="4" t="s">
        <v>657</v>
      </c>
    </row>
    <row r="188" spans="1:5" x14ac:dyDescent="0.25">
      <c r="A188" s="2" t="s">
        <v>446</v>
      </c>
      <c r="B188" s="1" t="s">
        <v>447</v>
      </c>
      <c r="C188" s="1" t="s">
        <v>509</v>
      </c>
      <c r="D188" s="4" t="s">
        <v>505</v>
      </c>
      <c r="E188" s="4" t="s">
        <v>674</v>
      </c>
    </row>
    <row r="189" spans="1:5" x14ac:dyDescent="0.25">
      <c r="A189" s="2" t="s">
        <v>462</v>
      </c>
      <c r="B189" s="1" t="s">
        <v>463</v>
      </c>
      <c r="C189" s="1" t="s">
        <v>509</v>
      </c>
      <c r="D189" s="4">
        <v>87</v>
      </c>
      <c r="E189" s="4" t="s">
        <v>716</v>
      </c>
    </row>
    <row r="190" spans="1:5" x14ac:dyDescent="0.25">
      <c r="A190" s="2" t="s">
        <v>472</v>
      </c>
      <c r="B190" s="1" t="s">
        <v>473</v>
      </c>
      <c r="C190" s="1" t="s">
        <v>509</v>
      </c>
      <c r="D190" s="4">
        <v>288</v>
      </c>
    </row>
    <row r="191" spans="1:5" x14ac:dyDescent="0.25">
      <c r="A191" s="2" t="s">
        <v>474</v>
      </c>
      <c r="B191" s="1" t="s">
        <v>475</v>
      </c>
      <c r="C191" s="1" t="s">
        <v>509</v>
      </c>
      <c r="D191" s="4">
        <v>309</v>
      </c>
      <c r="E191" s="4" t="s">
        <v>707</v>
      </c>
    </row>
    <row r="192" spans="1:5" x14ac:dyDescent="0.25">
      <c r="A192" s="2" t="s">
        <v>480</v>
      </c>
      <c r="B192" s="1" t="s">
        <v>481</v>
      </c>
      <c r="C192" s="1" t="s">
        <v>509</v>
      </c>
      <c r="D192" s="4" t="s">
        <v>514</v>
      </c>
      <c r="E192" s="4" t="s">
        <v>656</v>
      </c>
    </row>
    <row r="193" spans="1:6" x14ac:dyDescent="0.25">
      <c r="A193" s="2" t="s">
        <v>486</v>
      </c>
      <c r="B193" s="1" t="s">
        <v>487</v>
      </c>
      <c r="C193" s="1" t="s">
        <v>509</v>
      </c>
      <c r="D193" s="4">
        <v>168</v>
      </c>
      <c r="E193" s="4" t="s">
        <v>692</v>
      </c>
    </row>
    <row r="194" spans="1:6" x14ac:dyDescent="0.25">
      <c r="A194" s="2" t="s">
        <v>490</v>
      </c>
      <c r="B194" s="1" t="s">
        <v>491</v>
      </c>
      <c r="C194" s="1" t="s">
        <v>509</v>
      </c>
      <c r="D194" s="4" t="s">
        <v>523</v>
      </c>
      <c r="E194" s="4" t="s">
        <v>654</v>
      </c>
      <c r="F194" s="4" t="s">
        <v>535</v>
      </c>
    </row>
    <row r="195" spans="1:6" x14ac:dyDescent="0.25">
      <c r="A195" s="2" t="s">
        <v>494</v>
      </c>
      <c r="B195" s="1" t="s">
        <v>495</v>
      </c>
      <c r="C195" s="1" t="s">
        <v>509</v>
      </c>
      <c r="D195" s="4" t="s">
        <v>514</v>
      </c>
      <c r="E195" s="4" t="s">
        <v>656</v>
      </c>
    </row>
    <row r="196" spans="1:6" x14ac:dyDescent="0.25">
      <c r="A196" s="1" t="s">
        <v>28</v>
      </c>
      <c r="B196" s="1" t="s">
        <v>29</v>
      </c>
      <c r="C196" s="1" t="s">
        <v>509</v>
      </c>
      <c r="D196" s="4">
        <v>109</v>
      </c>
      <c r="E196" s="4" t="s">
        <v>720</v>
      </c>
    </row>
    <row r="197" spans="1:6" x14ac:dyDescent="0.25">
      <c r="A197" s="2" t="s">
        <v>579</v>
      </c>
      <c r="B197" s="1" t="s">
        <v>580</v>
      </c>
      <c r="C197" s="2" t="s">
        <v>509</v>
      </c>
      <c r="D197" s="4" t="s">
        <v>506</v>
      </c>
      <c r="E197" s="4" t="s">
        <v>648</v>
      </c>
    </row>
    <row r="198" spans="1:6" x14ac:dyDescent="0.25">
      <c r="A198" s="2" t="s">
        <v>583</v>
      </c>
      <c r="B198" s="1" t="s">
        <v>584</v>
      </c>
      <c r="C198" s="2" t="s">
        <v>509</v>
      </c>
      <c r="D198" s="4">
        <v>17</v>
      </c>
      <c r="E198" s="4" t="s">
        <v>697</v>
      </c>
    </row>
    <row r="199" spans="1:6" x14ac:dyDescent="0.25">
      <c r="A199" s="2" t="s">
        <v>583</v>
      </c>
      <c r="B199" s="1" t="s">
        <v>585</v>
      </c>
      <c r="C199" s="2" t="s">
        <v>509</v>
      </c>
      <c r="D199" s="4">
        <v>17</v>
      </c>
      <c r="E199" s="4" t="s">
        <v>697</v>
      </c>
    </row>
    <row r="200" spans="1:6" x14ac:dyDescent="0.25">
      <c r="A200" s="2" t="s">
        <v>586</v>
      </c>
      <c r="B200" s="1" t="s">
        <v>587</v>
      </c>
      <c r="C200" s="2" t="s">
        <v>509</v>
      </c>
      <c r="D200" s="4">
        <v>17</v>
      </c>
      <c r="E200" s="4" t="s">
        <v>697</v>
      </c>
    </row>
    <row r="201" spans="1:6" x14ac:dyDescent="0.25">
      <c r="A201" s="2" t="s">
        <v>590</v>
      </c>
      <c r="B201" s="1" t="s">
        <v>591</v>
      </c>
      <c r="C201" s="2" t="s">
        <v>509</v>
      </c>
      <c r="D201" s="4" t="s">
        <v>530</v>
      </c>
      <c r="E201" s="4" t="s">
        <v>706</v>
      </c>
    </row>
    <row r="202" spans="1:6" x14ac:dyDescent="0.25">
      <c r="A202" s="2" t="s">
        <v>592</v>
      </c>
      <c r="B202" s="1" t="s">
        <v>593</v>
      </c>
      <c r="C202" s="2" t="s">
        <v>509</v>
      </c>
      <c r="D202" s="4">
        <v>353</v>
      </c>
    </row>
    <row r="203" spans="1:6" x14ac:dyDescent="0.25">
      <c r="A203" s="1" t="s">
        <v>31</v>
      </c>
      <c r="B203" s="1" t="s">
        <v>32</v>
      </c>
      <c r="C203" s="1" t="s">
        <v>594</v>
      </c>
      <c r="E203" s="4" t="s">
        <v>594</v>
      </c>
      <c r="F203" s="4" t="s">
        <v>598</v>
      </c>
    </row>
    <row r="204" spans="1:6" x14ac:dyDescent="0.25">
      <c r="A204" s="1" t="s">
        <v>58</v>
      </c>
      <c r="B204" s="1" t="s">
        <v>59</v>
      </c>
      <c r="C204" s="1" t="s">
        <v>594</v>
      </c>
      <c r="E204" s="4" t="s">
        <v>594</v>
      </c>
      <c r="F204" s="4" t="s">
        <v>602</v>
      </c>
    </row>
    <row r="205" spans="1:6" x14ac:dyDescent="0.25">
      <c r="A205" s="11" t="s">
        <v>60</v>
      </c>
      <c r="B205" s="1" t="s">
        <v>61</v>
      </c>
      <c r="C205" s="1" t="s">
        <v>594</v>
      </c>
      <c r="E205" s="4" t="s">
        <v>594</v>
      </c>
      <c r="F205" s="4" t="s">
        <v>602</v>
      </c>
    </row>
    <row r="206" spans="1:6" x14ac:dyDescent="0.25">
      <c r="A206" s="2" t="s">
        <v>167</v>
      </c>
      <c r="B206" s="1" t="s">
        <v>168</v>
      </c>
      <c r="C206" s="1" t="s">
        <v>594</v>
      </c>
      <c r="D206" s="4">
        <v>142</v>
      </c>
      <c r="E206" s="4" t="s">
        <v>594</v>
      </c>
      <c r="F206" s="4" t="s">
        <v>601</v>
      </c>
    </row>
    <row r="207" spans="1:6" x14ac:dyDescent="0.25">
      <c r="A207" s="2" t="s">
        <v>149</v>
      </c>
      <c r="B207" s="1" t="s">
        <v>150</v>
      </c>
      <c r="C207" s="1" t="s">
        <v>594</v>
      </c>
      <c r="E207" s="4" t="s">
        <v>594</v>
      </c>
      <c r="F207" s="4" t="s">
        <v>602</v>
      </c>
    </row>
    <row r="208" spans="1:6" x14ac:dyDescent="0.25">
      <c r="A208" s="2" t="s">
        <v>200</v>
      </c>
      <c r="B208" s="1" t="s">
        <v>201</v>
      </c>
      <c r="C208" s="1" t="s">
        <v>594</v>
      </c>
      <c r="D208" s="4" t="s">
        <v>506</v>
      </c>
      <c r="E208" s="4" t="s">
        <v>594</v>
      </c>
      <c r="F208" s="4" t="s">
        <v>609</v>
      </c>
    </row>
    <row r="209" spans="1:6" x14ac:dyDescent="0.25">
      <c r="A209" s="2" t="s">
        <v>294</v>
      </c>
      <c r="B209" s="1" t="s">
        <v>295</v>
      </c>
      <c r="C209" s="1" t="s">
        <v>594</v>
      </c>
      <c r="E209" s="4" t="s">
        <v>594</v>
      </c>
      <c r="F209" s="4" t="s">
        <v>602</v>
      </c>
    </row>
    <row r="210" spans="1:6" x14ac:dyDescent="0.25">
      <c r="A210" s="2" t="s">
        <v>327</v>
      </c>
      <c r="B210" s="1" t="s">
        <v>328</v>
      </c>
      <c r="C210" s="1" t="s">
        <v>594</v>
      </c>
      <c r="D210" s="4">
        <v>258</v>
      </c>
      <c r="E210" s="4" t="s">
        <v>594</v>
      </c>
      <c r="F210" s="4" t="s">
        <v>610</v>
      </c>
    </row>
    <row r="211" spans="1:6" x14ac:dyDescent="0.25">
      <c r="A211" s="2" t="s">
        <v>396</v>
      </c>
      <c r="B211" s="1" t="s">
        <v>397</v>
      </c>
      <c r="C211" s="1" t="s">
        <v>594</v>
      </c>
      <c r="D211" s="4" t="s">
        <v>606</v>
      </c>
      <c r="E211" s="4" t="s">
        <v>594</v>
      </c>
      <c r="F211" s="4" t="s">
        <v>612</v>
      </c>
    </row>
    <row r="212" spans="1:6" x14ac:dyDescent="0.25">
      <c r="A212" s="2" t="s">
        <v>502</v>
      </c>
      <c r="B212" s="1" t="s">
        <v>503</v>
      </c>
      <c r="C212" s="1" t="s">
        <v>594</v>
      </c>
      <c r="D212" s="4" t="s">
        <v>533</v>
      </c>
      <c r="E212" s="4" t="s">
        <v>594</v>
      </c>
      <c r="F212" s="4" t="s">
        <v>613</v>
      </c>
    </row>
    <row r="213" spans="1:6" x14ac:dyDescent="0.25">
      <c r="A213" s="2" t="s">
        <v>450</v>
      </c>
      <c r="B213" s="1" t="s">
        <v>451</v>
      </c>
      <c r="C213" s="1" t="s">
        <v>594</v>
      </c>
      <c r="E213" s="4" t="s">
        <v>594</v>
      </c>
      <c r="F213" s="4" t="s">
        <v>602</v>
      </c>
    </row>
    <row r="214" spans="1:6" x14ac:dyDescent="0.25">
      <c r="A214" s="1" t="s">
        <v>3</v>
      </c>
      <c r="B214" s="1" t="s">
        <v>4</v>
      </c>
      <c r="C214" s="1" t="s">
        <v>594</v>
      </c>
      <c r="E214" s="4" t="s">
        <v>594</v>
      </c>
    </row>
    <row r="215" spans="1:6" x14ac:dyDescent="0.25">
      <c r="A215" s="1" t="s">
        <v>5</v>
      </c>
      <c r="B215" s="1" t="s">
        <v>6</v>
      </c>
      <c r="C215" s="1" t="s">
        <v>594</v>
      </c>
      <c r="E215" s="4" t="s">
        <v>594</v>
      </c>
    </row>
    <row r="216" spans="1:6" x14ac:dyDescent="0.25">
      <c r="A216" s="1" t="s">
        <v>7</v>
      </c>
      <c r="B216" s="1" t="s">
        <v>8</v>
      </c>
      <c r="C216" s="1" t="s">
        <v>594</v>
      </c>
      <c r="E216" s="4" t="s">
        <v>594</v>
      </c>
    </row>
    <row r="217" spans="1:6" x14ac:dyDescent="0.25">
      <c r="A217" s="1" t="s">
        <v>9</v>
      </c>
      <c r="B217" s="1" t="s">
        <v>10</v>
      </c>
      <c r="C217" s="1" t="s">
        <v>594</v>
      </c>
      <c r="E217" s="4" t="s">
        <v>594</v>
      </c>
    </row>
    <row r="218" spans="1:6" x14ac:dyDescent="0.25">
      <c r="A218" s="1" t="s">
        <v>11</v>
      </c>
      <c r="B218" s="1" t="s">
        <v>12</v>
      </c>
      <c r="C218" s="1" t="s">
        <v>594</v>
      </c>
      <c r="E218" s="4" t="s">
        <v>594</v>
      </c>
    </row>
    <row r="219" spans="1:6" x14ac:dyDescent="0.25">
      <c r="A219" s="1" t="s">
        <v>13</v>
      </c>
      <c r="B219" s="1" t="s">
        <v>14</v>
      </c>
      <c r="C219" s="1" t="s">
        <v>594</v>
      </c>
      <c r="E219" s="4" t="s">
        <v>594</v>
      </c>
    </row>
    <row r="220" spans="1:6" x14ac:dyDescent="0.25">
      <c r="A220" s="1" t="s">
        <v>15</v>
      </c>
      <c r="B220" s="1" t="s">
        <v>16</v>
      </c>
      <c r="C220" s="1" t="s">
        <v>594</v>
      </c>
      <c r="E220" s="4" t="s">
        <v>594</v>
      </c>
    </row>
    <row r="221" spans="1:6" x14ac:dyDescent="0.25">
      <c r="A221" s="2" t="s">
        <v>498</v>
      </c>
      <c r="B221" s="1" t="s">
        <v>499</v>
      </c>
      <c r="C221" s="1" t="s">
        <v>594</v>
      </c>
      <c r="E221" s="4" t="s">
        <v>594</v>
      </c>
    </row>
    <row r="222" spans="1:6" x14ac:dyDescent="0.25">
      <c r="A222" s="2" t="s">
        <v>329</v>
      </c>
      <c r="B222" s="1" t="s">
        <v>330</v>
      </c>
      <c r="C222" s="1" t="s">
        <v>594</v>
      </c>
      <c r="E222" s="4" t="s">
        <v>594</v>
      </c>
    </row>
    <row r="223" spans="1:6" x14ac:dyDescent="0.25">
      <c r="A223" s="2" t="s">
        <v>329</v>
      </c>
      <c r="B223" s="1" t="s">
        <v>331</v>
      </c>
      <c r="C223" s="1" t="s">
        <v>594</v>
      </c>
      <c r="E223" s="4" t="s">
        <v>594</v>
      </c>
    </row>
    <row r="224" spans="1:6" x14ac:dyDescent="0.25">
      <c r="A224" s="2" t="s">
        <v>588</v>
      </c>
      <c r="B224" s="1" t="s">
        <v>589</v>
      </c>
      <c r="C224" s="2" t="s">
        <v>594</v>
      </c>
      <c r="E224" s="4" t="s">
        <v>594</v>
      </c>
    </row>
    <row r="225" spans="1:6" x14ac:dyDescent="0.25">
      <c r="A225" s="2" t="s">
        <v>90</v>
      </c>
      <c r="B225" s="1" t="s">
        <v>91</v>
      </c>
      <c r="C225" s="1" t="s">
        <v>510</v>
      </c>
      <c r="D225" s="4">
        <v>245</v>
      </c>
      <c r="E225" s="4" t="s">
        <v>687</v>
      </c>
      <c r="F225" s="4" t="s">
        <v>512</v>
      </c>
    </row>
    <row r="226" spans="1:6" x14ac:dyDescent="0.25">
      <c r="A226" s="2" t="s">
        <v>110</v>
      </c>
      <c r="B226" s="1" t="s">
        <v>111</v>
      </c>
      <c r="C226" s="1" t="s">
        <v>21</v>
      </c>
      <c r="D226" s="4" t="s">
        <v>606</v>
      </c>
      <c r="E226" s="4" t="s">
        <v>657</v>
      </c>
      <c r="F226" s="4" t="s">
        <v>721</v>
      </c>
    </row>
    <row r="227" spans="1:6" x14ac:dyDescent="0.25">
      <c r="A227" s="2" t="s">
        <v>137</v>
      </c>
      <c r="B227" s="1" t="s">
        <v>138</v>
      </c>
      <c r="C227" s="1" t="s">
        <v>21</v>
      </c>
      <c r="D227" s="4" t="s">
        <v>523</v>
      </c>
      <c r="E227" s="4" t="s">
        <v>653</v>
      </c>
      <c r="F227" s="4" t="s">
        <v>521</v>
      </c>
    </row>
    <row r="228" spans="1:6" x14ac:dyDescent="0.25">
      <c r="A228" s="2" t="s">
        <v>147</v>
      </c>
      <c r="B228" s="1" t="s">
        <v>148</v>
      </c>
      <c r="C228" s="1" t="s">
        <v>509</v>
      </c>
      <c r="D228" s="4" t="s">
        <v>606</v>
      </c>
      <c r="E228" s="4" t="s">
        <v>657</v>
      </c>
    </row>
    <row r="229" spans="1:6" x14ac:dyDescent="0.25">
      <c r="A229" s="2" t="s">
        <v>190</v>
      </c>
      <c r="B229" s="1" t="s">
        <v>191</v>
      </c>
      <c r="C229" s="1" t="s">
        <v>510</v>
      </c>
      <c r="F229" s="4" t="s">
        <v>561</v>
      </c>
    </row>
    <row r="230" spans="1:6" x14ac:dyDescent="0.25">
      <c r="A230" s="2" t="s">
        <v>344</v>
      </c>
      <c r="B230" s="1" t="s">
        <v>345</v>
      </c>
      <c r="C230" s="1" t="s">
        <v>510</v>
      </c>
      <c r="F230" s="4" t="s">
        <v>562</v>
      </c>
    </row>
    <row r="231" spans="1:6" x14ac:dyDescent="0.25">
      <c r="A231" s="2" t="s">
        <v>456</v>
      </c>
      <c r="B231" s="1" t="s">
        <v>457</v>
      </c>
      <c r="C231" s="1" t="s">
        <v>509</v>
      </c>
      <c r="D231" s="4" t="s">
        <v>517</v>
      </c>
      <c r="E231" s="4" t="s">
        <v>646</v>
      </c>
      <c r="F231" s="4" t="s">
        <v>548</v>
      </c>
    </row>
    <row r="232" spans="1:6" x14ac:dyDescent="0.25">
      <c r="A232" s="2" t="s">
        <v>460</v>
      </c>
      <c r="B232" s="1" t="s">
        <v>461</v>
      </c>
      <c r="C232" s="1" t="s">
        <v>509</v>
      </c>
      <c r="D232" s="4">
        <v>105</v>
      </c>
      <c r="E232" s="4" t="s">
        <v>673</v>
      </c>
      <c r="F232" s="4" t="s">
        <v>722</v>
      </c>
    </row>
    <row r="233" spans="1:6" x14ac:dyDescent="0.25">
      <c r="A233" s="2" t="s">
        <v>484</v>
      </c>
      <c r="B233" s="1" t="s">
        <v>485</v>
      </c>
      <c r="C233" s="1" t="s">
        <v>509</v>
      </c>
      <c r="D233" s="4" t="s">
        <v>515</v>
      </c>
      <c r="E233" s="4" t="s">
        <v>675</v>
      </c>
    </row>
    <row r="234" spans="1:6" x14ac:dyDescent="0.25">
      <c r="A234" s="2" t="s">
        <v>336</v>
      </c>
      <c r="B234" s="1" t="s">
        <v>337</v>
      </c>
      <c r="C234" s="1" t="s">
        <v>551</v>
      </c>
      <c r="D234" s="4" t="s">
        <v>516</v>
      </c>
      <c r="E234" s="4" t="s">
        <v>660</v>
      </c>
    </row>
    <row r="235" spans="1:6" x14ac:dyDescent="0.25">
      <c r="A235" s="1" t="s">
        <v>40</v>
      </c>
      <c r="B235" s="1" t="s">
        <v>41</v>
      </c>
      <c r="C235" s="1" t="s">
        <v>551</v>
      </c>
      <c r="D235" s="4" t="s">
        <v>516</v>
      </c>
      <c r="E235" s="4" t="s">
        <v>660</v>
      </c>
    </row>
    <row r="236" spans="1:6" x14ac:dyDescent="0.25">
      <c r="A236" s="2" t="s">
        <v>106</v>
      </c>
      <c r="B236" s="1" t="s">
        <v>107</v>
      </c>
      <c r="C236" s="1" t="s">
        <v>551</v>
      </c>
      <c r="D236" s="4" t="s">
        <v>516</v>
      </c>
      <c r="E236" s="4" t="s">
        <v>660</v>
      </c>
    </row>
    <row r="237" spans="1:6" x14ac:dyDescent="0.25">
      <c r="A237" s="2" t="s">
        <v>374</v>
      </c>
      <c r="B237" s="1" t="s">
        <v>375</v>
      </c>
      <c r="C237" s="1" t="s">
        <v>551</v>
      </c>
      <c r="D237" s="4" t="s">
        <v>516</v>
      </c>
      <c r="E237" s="4" t="s">
        <v>660</v>
      </c>
    </row>
    <row r="238" spans="1:6" x14ac:dyDescent="0.25">
      <c r="A238" s="2" t="s">
        <v>390</v>
      </c>
      <c r="B238" s="1" t="s">
        <v>391</v>
      </c>
      <c r="C238" s="1" t="s">
        <v>551</v>
      </c>
      <c r="D238" s="4" t="s">
        <v>516</v>
      </c>
      <c r="E238" s="4" t="s">
        <v>660</v>
      </c>
    </row>
    <row r="239" spans="1:6" x14ac:dyDescent="0.25">
      <c r="A239" s="11" t="s">
        <v>78</v>
      </c>
      <c r="B239" s="1" t="s">
        <v>79</v>
      </c>
      <c r="C239" s="1" t="s">
        <v>551</v>
      </c>
      <c r="D239" s="4" t="s">
        <v>516</v>
      </c>
      <c r="E239" s="4" t="s">
        <v>660</v>
      </c>
    </row>
    <row r="240" spans="1:6" x14ac:dyDescent="0.25">
      <c r="A240" s="2" t="s">
        <v>104</v>
      </c>
      <c r="B240" s="1" t="s">
        <v>105</v>
      </c>
      <c r="C240" s="1" t="s">
        <v>551</v>
      </c>
      <c r="D240" s="4" t="s">
        <v>516</v>
      </c>
      <c r="E240" s="4" t="s">
        <v>660</v>
      </c>
    </row>
    <row r="241" spans="1:7" x14ac:dyDescent="0.25">
      <c r="A241" s="2" t="s">
        <v>157</v>
      </c>
      <c r="B241" s="1" t="s">
        <v>158</v>
      </c>
      <c r="C241" s="1" t="s">
        <v>551</v>
      </c>
      <c r="D241" s="4" t="s">
        <v>516</v>
      </c>
      <c r="E241" s="4" t="s">
        <v>660</v>
      </c>
    </row>
    <row r="242" spans="1:7" x14ac:dyDescent="0.25">
      <c r="A242" s="2" t="s">
        <v>184</v>
      </c>
      <c r="B242" s="1" t="s">
        <v>185</v>
      </c>
      <c r="C242" s="1" t="s">
        <v>551</v>
      </c>
      <c r="D242" s="4" t="s">
        <v>516</v>
      </c>
      <c r="E242" s="4" t="s">
        <v>660</v>
      </c>
    </row>
    <row r="243" spans="1:7" x14ac:dyDescent="0.25">
      <c r="A243" s="2" t="s">
        <v>192</v>
      </c>
      <c r="B243" s="1" t="s">
        <v>193</v>
      </c>
      <c r="C243" s="1" t="s">
        <v>551</v>
      </c>
      <c r="D243" s="4" t="s">
        <v>516</v>
      </c>
      <c r="E243" s="4" t="s">
        <v>660</v>
      </c>
    </row>
    <row r="244" spans="1:7" x14ac:dyDescent="0.25">
      <c r="A244" s="2" t="s">
        <v>286</v>
      </c>
      <c r="B244" s="1" t="s">
        <v>287</v>
      </c>
      <c r="C244" s="1" t="s">
        <v>551</v>
      </c>
      <c r="D244" s="4" t="s">
        <v>516</v>
      </c>
      <c r="E244" s="4" t="s">
        <v>660</v>
      </c>
    </row>
    <row r="245" spans="1:7" x14ac:dyDescent="0.25">
      <c r="A245" s="2" t="s">
        <v>444</v>
      </c>
      <c r="B245" s="1" t="s">
        <v>445</v>
      </c>
      <c r="C245" s="1" t="s">
        <v>551</v>
      </c>
      <c r="D245" s="4" t="s">
        <v>516</v>
      </c>
      <c r="E245" s="4" t="s">
        <v>660</v>
      </c>
    </row>
    <row r="246" spans="1:7" x14ac:dyDescent="0.25">
      <c r="A246" s="11" t="s">
        <v>66</v>
      </c>
      <c r="B246" s="1" t="s">
        <v>67</v>
      </c>
      <c r="C246" s="1" t="s">
        <v>570</v>
      </c>
      <c r="D246" s="4">
        <v>258</v>
      </c>
      <c r="E246" s="4" t="s">
        <v>651</v>
      </c>
      <c r="F246" s="13"/>
      <c r="G246" t="s">
        <v>568</v>
      </c>
    </row>
    <row r="247" spans="1:7" x14ac:dyDescent="0.25">
      <c r="A247" s="1" t="s">
        <v>565</v>
      </c>
      <c r="B247" s="1" t="s">
        <v>566</v>
      </c>
      <c r="C247" s="1" t="s">
        <v>507</v>
      </c>
      <c r="D247" s="4" t="s">
        <v>506</v>
      </c>
      <c r="E247" s="4" t="s">
        <v>648</v>
      </c>
    </row>
    <row r="248" spans="1:7" x14ac:dyDescent="0.25">
      <c r="A248" s="1" t="s">
        <v>33</v>
      </c>
      <c r="B248" s="1" t="s">
        <v>556</v>
      </c>
      <c r="C248" s="1" t="s">
        <v>507</v>
      </c>
      <c r="D248" s="4" t="s">
        <v>508</v>
      </c>
      <c r="E248" s="4" t="s">
        <v>650</v>
      </c>
    </row>
    <row r="249" spans="1:7" x14ac:dyDescent="0.25">
      <c r="A249" s="1" t="s">
        <v>36</v>
      </c>
      <c r="B249" s="1" t="s">
        <v>37</v>
      </c>
      <c r="C249" s="1" t="s">
        <v>507</v>
      </c>
      <c r="D249" s="4" t="s">
        <v>605</v>
      </c>
      <c r="E249" s="4" t="s">
        <v>658</v>
      </c>
    </row>
    <row r="250" spans="1:7" x14ac:dyDescent="0.25">
      <c r="A250" s="1" t="s">
        <v>46</v>
      </c>
      <c r="B250" s="1" t="s">
        <v>47</v>
      </c>
      <c r="C250" s="1" t="s">
        <v>507</v>
      </c>
      <c r="D250" s="4" t="s">
        <v>627</v>
      </c>
      <c r="E250" s="4" t="s">
        <v>649</v>
      </c>
    </row>
    <row r="251" spans="1:7" x14ac:dyDescent="0.25">
      <c r="A251" s="1" t="s">
        <v>48</v>
      </c>
      <c r="B251" s="1" t="s">
        <v>49</v>
      </c>
      <c r="C251" s="1" t="s">
        <v>507</v>
      </c>
      <c r="D251" s="4" t="s">
        <v>543</v>
      </c>
      <c r="E251" s="4" t="s">
        <v>647</v>
      </c>
      <c r="F251" s="8" t="s">
        <v>546</v>
      </c>
      <c r="G251" s="10"/>
    </row>
    <row r="252" spans="1:7" x14ac:dyDescent="0.25">
      <c r="A252" s="1" t="s">
        <v>64</v>
      </c>
      <c r="B252" s="1" t="s">
        <v>65</v>
      </c>
      <c r="C252" s="1" t="s">
        <v>507</v>
      </c>
      <c r="D252" s="4" t="s">
        <v>514</v>
      </c>
      <c r="E252" s="4" t="s">
        <v>656</v>
      </c>
    </row>
    <row r="253" spans="1:7" x14ac:dyDescent="0.25">
      <c r="A253" s="11" t="s">
        <v>68</v>
      </c>
      <c r="B253" s="1" t="s">
        <v>69</v>
      </c>
      <c r="C253" s="1" t="s">
        <v>507</v>
      </c>
      <c r="D253" s="4">
        <v>214</v>
      </c>
      <c r="E253" s="4" t="s">
        <v>696</v>
      </c>
    </row>
    <row r="254" spans="1:7" x14ac:dyDescent="0.25">
      <c r="A254" s="2" t="s">
        <v>98</v>
      </c>
      <c r="B254" s="1" t="s">
        <v>99</v>
      </c>
      <c r="C254" s="1" t="s">
        <v>507</v>
      </c>
      <c r="D254" s="4">
        <v>267</v>
      </c>
      <c r="E254" s="4" t="s">
        <v>655</v>
      </c>
    </row>
    <row r="255" spans="1:7" x14ac:dyDescent="0.25">
      <c r="A255" s="2" t="s">
        <v>122</v>
      </c>
      <c r="B255" s="1" t="s">
        <v>123</v>
      </c>
      <c r="C255" s="1" t="s">
        <v>507</v>
      </c>
      <c r="D255" s="4">
        <v>237</v>
      </c>
      <c r="E255" s="4" t="s">
        <v>695</v>
      </c>
      <c r="G255" s="9"/>
    </row>
    <row r="256" spans="1:7" x14ac:dyDescent="0.25">
      <c r="A256" s="2" t="s">
        <v>124</v>
      </c>
      <c r="B256" s="1" t="s">
        <v>125</v>
      </c>
      <c r="C256" s="1" t="s">
        <v>507</v>
      </c>
      <c r="D256" s="4" t="s">
        <v>606</v>
      </c>
      <c r="E256" s="4" t="s">
        <v>657</v>
      </c>
    </row>
    <row r="257" spans="1:5" x14ac:dyDescent="0.25">
      <c r="A257" s="2" t="s">
        <v>151</v>
      </c>
      <c r="B257" s="1" t="s">
        <v>152</v>
      </c>
      <c r="C257" s="1" t="s">
        <v>507</v>
      </c>
      <c r="D257" s="4" t="s">
        <v>553</v>
      </c>
      <c r="E257" s="4" t="s">
        <v>700</v>
      </c>
    </row>
    <row r="258" spans="1:5" x14ac:dyDescent="0.25">
      <c r="A258" s="2" t="s">
        <v>175</v>
      </c>
      <c r="B258" s="1" t="s">
        <v>176</v>
      </c>
      <c r="C258" s="1" t="s">
        <v>507</v>
      </c>
      <c r="D258" s="4">
        <v>125</v>
      </c>
      <c r="E258" s="4" t="s">
        <v>692</v>
      </c>
    </row>
    <row r="259" spans="1:5" x14ac:dyDescent="0.25">
      <c r="A259" s="2" t="s">
        <v>196</v>
      </c>
      <c r="B259" s="1" t="s">
        <v>197</v>
      </c>
      <c r="C259" s="1" t="s">
        <v>507</v>
      </c>
      <c r="D259" s="4">
        <v>204</v>
      </c>
      <c r="E259" s="4" t="s">
        <v>678</v>
      </c>
    </row>
    <row r="260" spans="1:5" x14ac:dyDescent="0.25">
      <c r="A260" s="2" t="s">
        <v>246</v>
      </c>
      <c r="B260" s="1" t="s">
        <v>247</v>
      </c>
      <c r="C260" s="1" t="s">
        <v>507</v>
      </c>
      <c r="D260" s="4">
        <v>143</v>
      </c>
      <c r="E260" s="4" t="s">
        <v>676</v>
      </c>
    </row>
    <row r="261" spans="1:5" x14ac:dyDescent="0.25">
      <c r="A261" s="2" t="s">
        <v>248</v>
      </c>
      <c r="B261" s="1" t="s">
        <v>249</v>
      </c>
      <c r="C261" s="1" t="s">
        <v>507</v>
      </c>
      <c r="D261" s="4" t="s">
        <v>532</v>
      </c>
    </row>
    <row r="262" spans="1:5" x14ac:dyDescent="0.25">
      <c r="A262" s="2" t="s">
        <v>340</v>
      </c>
      <c r="B262" s="1" t="s">
        <v>341</v>
      </c>
      <c r="C262" s="1" t="s">
        <v>507</v>
      </c>
      <c r="D262" s="4" t="s">
        <v>627</v>
      </c>
      <c r="E262" s="4" t="s">
        <v>649</v>
      </c>
    </row>
    <row r="263" spans="1:5" x14ac:dyDescent="0.25">
      <c r="A263" s="2" t="s">
        <v>378</v>
      </c>
      <c r="B263" s="1" t="s">
        <v>379</v>
      </c>
      <c r="C263" s="1" t="s">
        <v>507</v>
      </c>
      <c r="D263" s="4" t="s">
        <v>533</v>
      </c>
      <c r="E263" s="4" t="s">
        <v>712</v>
      </c>
    </row>
    <row r="264" spans="1:5" x14ac:dyDescent="0.25">
      <c r="A264" s="2" t="s">
        <v>412</v>
      </c>
      <c r="B264" s="1" t="s">
        <v>413</v>
      </c>
      <c r="C264" s="1" t="s">
        <v>507</v>
      </c>
      <c r="D264" s="4">
        <v>267</v>
      </c>
      <c r="E264" s="4" t="s">
        <v>655</v>
      </c>
    </row>
    <row r="265" spans="1:5" x14ac:dyDescent="0.25">
      <c r="A265" s="2" t="s">
        <v>416</v>
      </c>
      <c r="B265" s="1" t="s">
        <v>417</v>
      </c>
      <c r="C265" s="1" t="s">
        <v>507</v>
      </c>
      <c r="D265" s="4">
        <v>160</v>
      </c>
      <c r="E265" s="4" t="s">
        <v>723</v>
      </c>
    </row>
    <row r="266" spans="1:5" x14ac:dyDescent="0.25">
      <c r="A266" s="2" t="s">
        <v>432</v>
      </c>
      <c r="B266" s="1" t="s">
        <v>433</v>
      </c>
      <c r="C266" s="1" t="s">
        <v>507</v>
      </c>
      <c r="D266" s="4">
        <v>278</v>
      </c>
      <c r="E266" s="4" t="s">
        <v>708</v>
      </c>
    </row>
    <row r="267" spans="1:5" x14ac:dyDescent="0.25">
      <c r="A267" s="2" t="s">
        <v>470</v>
      </c>
      <c r="B267" s="1" t="s">
        <v>471</v>
      </c>
      <c r="C267" s="1" t="s">
        <v>507</v>
      </c>
      <c r="D267" s="4" t="s">
        <v>549</v>
      </c>
      <c r="E267" s="4" t="s">
        <v>724</v>
      </c>
    </row>
    <row r="268" spans="1:5" x14ac:dyDescent="0.25">
      <c r="A268" s="2" t="s">
        <v>725</v>
      </c>
      <c r="B268" s="1" t="s">
        <v>668</v>
      </c>
      <c r="C268" s="2" t="s">
        <v>668</v>
      </c>
      <c r="E268" s="4" t="s">
        <v>656</v>
      </c>
    </row>
    <row r="269" spans="1:5" x14ac:dyDescent="0.25">
      <c r="A269" s="2" t="s">
        <v>665</v>
      </c>
      <c r="B269" s="1" t="s">
        <v>668</v>
      </c>
      <c r="C269" s="2" t="s">
        <v>668</v>
      </c>
      <c r="E269" s="4" t="s">
        <v>673</v>
      </c>
    </row>
    <row r="270" spans="1:5" x14ac:dyDescent="0.25">
      <c r="A270" s="2" t="s">
        <v>726</v>
      </c>
      <c r="B270" s="1" t="s">
        <v>668</v>
      </c>
      <c r="C270" s="2" t="s">
        <v>668</v>
      </c>
      <c r="E270" s="4" t="s">
        <v>689</v>
      </c>
    </row>
    <row r="271" spans="1:5" x14ac:dyDescent="0.25">
      <c r="A271" s="2" t="s">
        <v>727</v>
      </c>
      <c r="B271" s="1" t="s">
        <v>668</v>
      </c>
      <c r="C271" s="2" t="s">
        <v>668</v>
      </c>
      <c r="E271" s="4" t="s">
        <v>654</v>
      </c>
    </row>
  </sheetData>
  <autoFilter ref="A1:G267" xr:uid="{51F4417B-7E27-4729-A5E3-28768206501C}">
    <sortState xmlns:xlrd2="http://schemas.microsoft.com/office/spreadsheetml/2017/richdata2" ref="A2:G267">
      <sortCondition ref="C1:C267"/>
    </sortState>
  </autoFilter>
  <conditionalFormatting sqref="A1:C1048576">
    <cfRule type="expression" dxfId="14" priority="1">
      <formula>$C1="TAXBASE"</formula>
    </cfRule>
    <cfRule type="expression" dxfId="13" priority="9">
      <formula>$C1="Contato não cadastrado na empresa"</formula>
    </cfRule>
    <cfRule type="expression" dxfId="12" priority="10">
      <formula>$C1="Cliente não identificado"</formula>
    </cfRule>
    <cfRule type="expression" dxfId="11" priority="12">
      <formula>$C1="Usuario inativo ou não registrado"</formula>
    </cfRule>
    <cfRule type="expression" dxfId="10" priority="13">
      <formula>$C1="Cadastrado"</formula>
    </cfRule>
  </conditionalFormatting>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C0728-06BE-47CE-BF9E-40A1C5E20C3E}">
  <dimension ref="A1:I12"/>
  <sheetViews>
    <sheetView workbookViewId="0">
      <selection activeCell="A2" sqref="A2"/>
    </sheetView>
  </sheetViews>
  <sheetFormatPr defaultRowHeight="15" x14ac:dyDescent="0.25"/>
  <cols>
    <col min="5" max="5" width="27.42578125" bestFit="1" customWidth="1"/>
    <col min="6" max="6" width="17.28515625" bestFit="1" customWidth="1"/>
  </cols>
  <sheetData>
    <row r="1" spans="1:9" x14ac:dyDescent="0.25">
      <c r="A1" t="s">
        <v>527</v>
      </c>
      <c r="E1" t="s">
        <v>528</v>
      </c>
      <c r="F1" t="s">
        <v>1</v>
      </c>
      <c r="G1" t="s">
        <v>2</v>
      </c>
    </row>
    <row r="2" spans="1:9" ht="15.75" x14ac:dyDescent="0.25">
      <c r="A2">
        <v>238</v>
      </c>
      <c r="B2" t="s">
        <v>542</v>
      </c>
      <c r="C2" s="5" t="s">
        <v>518</v>
      </c>
      <c r="E2" s="1" t="s">
        <v>26</v>
      </c>
      <c r="F2" s="1" t="s">
        <v>27</v>
      </c>
      <c r="G2">
        <v>238</v>
      </c>
      <c r="H2" s="5" t="s">
        <v>518</v>
      </c>
      <c r="I2" t="s">
        <v>544</v>
      </c>
    </row>
    <row r="3" spans="1:9" ht="15.75" x14ac:dyDescent="0.25">
      <c r="A3">
        <v>240</v>
      </c>
      <c r="C3" s="5" t="s">
        <v>518</v>
      </c>
      <c r="E3" s="1" t="s">
        <v>48</v>
      </c>
      <c r="F3" s="1" t="s">
        <v>49</v>
      </c>
      <c r="H3" s="5" t="s">
        <v>518</v>
      </c>
      <c r="I3" t="s">
        <v>543</v>
      </c>
    </row>
    <row r="4" spans="1:9" ht="15.75" x14ac:dyDescent="0.25">
      <c r="A4">
        <v>244</v>
      </c>
      <c r="C4" s="5" t="s">
        <v>518</v>
      </c>
      <c r="E4" t="s">
        <v>303</v>
      </c>
      <c r="F4" s="1" t="s">
        <v>304</v>
      </c>
      <c r="G4">
        <v>238</v>
      </c>
      <c r="H4" s="5" t="s">
        <v>518</v>
      </c>
      <c r="I4" t="s">
        <v>544</v>
      </c>
    </row>
    <row r="5" spans="1:9" ht="15.75" x14ac:dyDescent="0.25">
      <c r="A5">
        <v>247</v>
      </c>
      <c r="C5" s="5" t="s">
        <v>518</v>
      </c>
      <c r="E5" t="s">
        <v>177</v>
      </c>
      <c r="F5" s="1" t="s">
        <v>178</v>
      </c>
      <c r="G5" t="s">
        <v>543</v>
      </c>
      <c r="H5" s="5" t="s">
        <v>518</v>
      </c>
    </row>
    <row r="6" spans="1:9" ht="15.75" x14ac:dyDescent="0.25">
      <c r="A6">
        <v>249</v>
      </c>
      <c r="C6" s="5" t="s">
        <v>518</v>
      </c>
      <c r="E6" t="s">
        <v>438</v>
      </c>
      <c r="F6" s="1" t="s">
        <v>439</v>
      </c>
      <c r="G6" t="s">
        <v>544</v>
      </c>
      <c r="H6" s="5" t="s">
        <v>518</v>
      </c>
      <c r="I6">
        <v>238</v>
      </c>
    </row>
    <row r="7" spans="1:9" ht="15.75" x14ac:dyDescent="0.25">
      <c r="A7">
        <v>250</v>
      </c>
      <c r="C7" s="5" t="s">
        <v>518</v>
      </c>
      <c r="E7" s="23" t="s">
        <v>44</v>
      </c>
      <c r="F7" s="1" t="s">
        <v>45</v>
      </c>
      <c r="G7" t="s">
        <v>567</v>
      </c>
    </row>
    <row r="8" spans="1:9" ht="15.75" x14ac:dyDescent="0.25">
      <c r="A8">
        <v>251</v>
      </c>
      <c r="C8" s="5" t="s">
        <v>518</v>
      </c>
      <c r="E8" s="23" t="s">
        <v>230</v>
      </c>
      <c r="F8" s="1" t="s">
        <v>231</v>
      </c>
      <c r="G8" t="s">
        <v>567</v>
      </c>
    </row>
    <row r="9" spans="1:9" ht="15.75" x14ac:dyDescent="0.25">
      <c r="A9">
        <v>252</v>
      </c>
      <c r="C9" s="5" t="s">
        <v>518</v>
      </c>
    </row>
    <row r="10" spans="1:9" ht="15.75" x14ac:dyDescent="0.25">
      <c r="A10">
        <v>253</v>
      </c>
      <c r="C10" s="5" t="s">
        <v>518</v>
      </c>
    </row>
    <row r="12" spans="1:9" x14ac:dyDescent="0.25">
      <c r="A12" t="s">
        <v>543</v>
      </c>
    </row>
  </sheetData>
  <conditionalFormatting sqref="E7:F8">
    <cfRule type="expression" dxfId="9" priority="1">
      <formula>$C7="TAXBASE"</formula>
    </cfRule>
    <cfRule type="expression" dxfId="8" priority="2">
      <formula>$C7="Contato não cadastrado na empresa"</formula>
    </cfRule>
    <cfRule type="expression" dxfId="7" priority="3">
      <formula>$C7="Cliente não identificado"</formula>
    </cfRule>
    <cfRule type="expression" dxfId="6" priority="4">
      <formula>$C7="Usuario inativo ou não registrado"</formula>
    </cfRule>
    <cfRule type="expression" dxfId="5" priority="5">
      <formula>$C7="Cadastrado"</formula>
    </cfRule>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921EF-8109-47AC-B226-A6CA3DFB8855}">
  <dimension ref="A1:G14"/>
  <sheetViews>
    <sheetView workbookViewId="0">
      <selection activeCell="A14" sqref="A14"/>
    </sheetView>
  </sheetViews>
  <sheetFormatPr defaultRowHeight="15" x14ac:dyDescent="0.25"/>
  <cols>
    <col min="5" max="5" width="22.85546875" bestFit="1" customWidth="1"/>
    <col min="6" max="6" width="15.140625" style="6" bestFit="1" customWidth="1"/>
  </cols>
  <sheetData>
    <row r="1" spans="1:7" ht="15.75" x14ac:dyDescent="0.25">
      <c r="A1" t="s">
        <v>527</v>
      </c>
      <c r="E1" t="s">
        <v>528</v>
      </c>
      <c r="F1" s="6" t="s">
        <v>1</v>
      </c>
      <c r="G1" s="5"/>
    </row>
    <row r="2" spans="1:7" ht="15.75" x14ac:dyDescent="0.25">
      <c r="A2">
        <v>7</v>
      </c>
      <c r="C2" s="5" t="s">
        <v>518</v>
      </c>
      <c r="E2" t="s">
        <v>84</v>
      </c>
      <c r="F2" s="6" t="s">
        <v>85</v>
      </c>
      <c r="G2" s="5" t="s">
        <v>518</v>
      </c>
    </row>
    <row r="3" spans="1:7" ht="15.75" x14ac:dyDescent="0.25">
      <c r="A3">
        <v>8</v>
      </c>
      <c r="C3" s="5" t="s">
        <v>518</v>
      </c>
      <c r="E3" t="s">
        <v>163</v>
      </c>
      <c r="F3" s="1" t="s">
        <v>164</v>
      </c>
      <c r="G3" s="5" t="s">
        <v>518</v>
      </c>
    </row>
    <row r="4" spans="1:7" ht="15.75" x14ac:dyDescent="0.25">
      <c r="A4">
        <v>9</v>
      </c>
      <c r="C4" s="5" t="s">
        <v>518</v>
      </c>
      <c r="E4" t="s">
        <v>250</v>
      </c>
      <c r="F4" s="1" t="s">
        <v>251</v>
      </c>
      <c r="G4" s="5" t="s">
        <v>518</v>
      </c>
    </row>
    <row r="5" spans="1:7" ht="15.75" x14ac:dyDescent="0.25">
      <c r="A5">
        <v>11</v>
      </c>
      <c r="C5" s="5" t="s">
        <v>518</v>
      </c>
    </row>
    <row r="6" spans="1:7" ht="15.75" x14ac:dyDescent="0.25">
      <c r="A6">
        <v>12</v>
      </c>
      <c r="C6" s="5" t="s">
        <v>518</v>
      </c>
    </row>
    <row r="7" spans="1:7" ht="15.75" x14ac:dyDescent="0.25">
      <c r="A7">
        <v>13</v>
      </c>
      <c r="C7" s="5" t="s">
        <v>518</v>
      </c>
    </row>
    <row r="8" spans="1:7" ht="15.75" x14ac:dyDescent="0.25">
      <c r="A8">
        <v>14</v>
      </c>
      <c r="C8" s="5" t="s">
        <v>518</v>
      </c>
    </row>
    <row r="9" spans="1:7" ht="15.75" x14ac:dyDescent="0.25">
      <c r="A9">
        <v>15</v>
      </c>
      <c r="C9" s="5" t="s">
        <v>518</v>
      </c>
    </row>
    <row r="10" spans="1:7" ht="15.75" x14ac:dyDescent="0.25">
      <c r="A10">
        <v>16</v>
      </c>
      <c r="C10" s="5" t="s">
        <v>518</v>
      </c>
    </row>
    <row r="11" spans="1:7" ht="15.75" x14ac:dyDescent="0.25">
      <c r="A11">
        <v>18</v>
      </c>
      <c r="C11" s="5" t="s">
        <v>518</v>
      </c>
    </row>
    <row r="12" spans="1:7" ht="15.75" x14ac:dyDescent="0.25">
      <c r="A12">
        <v>66</v>
      </c>
      <c r="C12" s="5" t="s">
        <v>518</v>
      </c>
    </row>
    <row r="14" spans="1:7" x14ac:dyDescent="0.25">
      <c r="A14" t="s">
        <v>526</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859DC-8792-43A7-B634-D85CA739EE17}">
  <dimension ref="A1:K29"/>
  <sheetViews>
    <sheetView workbookViewId="0">
      <selection activeCell="F30" sqref="F30"/>
    </sheetView>
  </sheetViews>
  <sheetFormatPr defaultRowHeight="15" x14ac:dyDescent="0.25"/>
  <cols>
    <col min="4" max="4" width="1.42578125" customWidth="1"/>
    <col min="9" max="9" width="20" style="2" bestFit="1" customWidth="1"/>
    <col min="10" max="10" width="16.7109375" bestFit="1" customWidth="1"/>
  </cols>
  <sheetData>
    <row r="1" spans="1:11" x14ac:dyDescent="0.25">
      <c r="A1" t="s">
        <v>527</v>
      </c>
      <c r="E1" t="s">
        <v>527</v>
      </c>
      <c r="I1" s="2" t="s">
        <v>528</v>
      </c>
      <c r="J1" t="s">
        <v>1</v>
      </c>
      <c r="K1" t="s">
        <v>2</v>
      </c>
    </row>
    <row r="2" spans="1:11" ht="15.75" x14ac:dyDescent="0.25">
      <c r="A2">
        <v>177</v>
      </c>
      <c r="B2" t="s">
        <v>525</v>
      </c>
      <c r="C2" s="5" t="s">
        <v>518</v>
      </c>
      <c r="E2">
        <v>195</v>
      </c>
      <c r="F2" s="5" t="s">
        <v>518</v>
      </c>
      <c r="I2" s="2" t="s">
        <v>520</v>
      </c>
      <c r="J2" s="6" t="s">
        <v>138</v>
      </c>
      <c r="K2" s="5" t="s">
        <v>518</v>
      </c>
    </row>
    <row r="3" spans="1:11" ht="15.75" x14ac:dyDescent="0.25">
      <c r="A3">
        <v>178</v>
      </c>
      <c r="C3" s="5" t="s">
        <v>518</v>
      </c>
      <c r="E3">
        <v>196</v>
      </c>
      <c r="F3" s="5" t="s">
        <v>518</v>
      </c>
      <c r="I3" s="3" t="s">
        <v>80</v>
      </c>
      <c r="J3" s="1" t="s">
        <v>81</v>
      </c>
      <c r="K3" s="5" t="s">
        <v>518</v>
      </c>
    </row>
    <row r="4" spans="1:11" ht="15.75" x14ac:dyDescent="0.25">
      <c r="A4">
        <v>179</v>
      </c>
      <c r="C4" s="5" t="s">
        <v>518</v>
      </c>
      <c r="E4">
        <v>197</v>
      </c>
      <c r="F4" s="5" t="s">
        <v>518</v>
      </c>
      <c r="I4" t="s">
        <v>126</v>
      </c>
      <c r="J4" s="1" t="s">
        <v>127</v>
      </c>
      <c r="K4" s="5" t="s">
        <v>518</v>
      </c>
    </row>
    <row r="5" spans="1:11" ht="15.75" x14ac:dyDescent="0.25">
      <c r="A5">
        <v>180</v>
      </c>
      <c r="C5" s="5" t="s">
        <v>518</v>
      </c>
      <c r="E5">
        <v>198</v>
      </c>
      <c r="F5" s="5" t="s">
        <v>518</v>
      </c>
    </row>
    <row r="6" spans="1:11" ht="15.75" x14ac:dyDescent="0.25">
      <c r="A6">
        <v>181</v>
      </c>
      <c r="C6" s="5" t="s">
        <v>518</v>
      </c>
      <c r="E6">
        <v>199</v>
      </c>
      <c r="F6" s="5" t="s">
        <v>518</v>
      </c>
    </row>
    <row r="7" spans="1:11" ht="15.75" x14ac:dyDescent="0.25">
      <c r="A7">
        <v>182</v>
      </c>
      <c r="C7" s="5" t="s">
        <v>518</v>
      </c>
      <c r="E7">
        <v>200</v>
      </c>
      <c r="F7" s="5" t="s">
        <v>518</v>
      </c>
    </row>
    <row r="8" spans="1:11" ht="15.75" x14ac:dyDescent="0.25">
      <c r="A8">
        <v>183</v>
      </c>
      <c r="C8" s="5" t="s">
        <v>518</v>
      </c>
      <c r="E8">
        <v>201</v>
      </c>
      <c r="F8" s="5" t="s">
        <v>518</v>
      </c>
    </row>
    <row r="9" spans="1:11" ht="15.75" x14ac:dyDescent="0.25">
      <c r="A9">
        <v>184</v>
      </c>
      <c r="C9" s="5" t="s">
        <v>518</v>
      </c>
      <c r="E9">
        <v>202</v>
      </c>
      <c r="F9" s="5" t="s">
        <v>518</v>
      </c>
    </row>
    <row r="10" spans="1:11" ht="15.75" x14ac:dyDescent="0.25">
      <c r="A10">
        <v>185</v>
      </c>
      <c r="C10" s="5" t="s">
        <v>518</v>
      </c>
      <c r="E10">
        <v>203</v>
      </c>
      <c r="F10" s="5" t="s">
        <v>518</v>
      </c>
    </row>
    <row r="11" spans="1:11" ht="15.75" x14ac:dyDescent="0.25">
      <c r="A11">
        <v>186</v>
      </c>
      <c r="C11" s="5" t="s">
        <v>518</v>
      </c>
      <c r="E11">
        <v>211</v>
      </c>
      <c r="G11" s="5" t="s">
        <v>518</v>
      </c>
    </row>
    <row r="12" spans="1:11" ht="15.75" x14ac:dyDescent="0.25">
      <c r="A12">
        <v>187</v>
      </c>
      <c r="C12" s="5" t="s">
        <v>518</v>
      </c>
      <c r="E12">
        <v>254</v>
      </c>
      <c r="G12" s="5" t="s">
        <v>518</v>
      </c>
    </row>
    <row r="13" spans="1:11" ht="15.75" x14ac:dyDescent="0.25">
      <c r="A13">
        <v>188</v>
      </c>
      <c r="C13" s="5" t="s">
        <v>518</v>
      </c>
      <c r="E13">
        <v>255</v>
      </c>
      <c r="G13" s="5" t="s">
        <v>518</v>
      </c>
    </row>
    <row r="14" spans="1:11" ht="15.75" x14ac:dyDescent="0.25">
      <c r="A14">
        <v>189</v>
      </c>
      <c r="C14" s="5" t="s">
        <v>518</v>
      </c>
      <c r="I14" s="7"/>
    </row>
    <row r="15" spans="1:11" ht="15.75" x14ac:dyDescent="0.25">
      <c r="A15">
        <v>190</v>
      </c>
      <c r="C15" s="5" t="s">
        <v>518</v>
      </c>
      <c r="E15" t="s">
        <v>523</v>
      </c>
      <c r="I15" s="7"/>
    </row>
    <row r="16" spans="1:11" ht="15.75" x14ac:dyDescent="0.25">
      <c r="A16">
        <v>191</v>
      </c>
      <c r="C16" s="5" t="s">
        <v>518</v>
      </c>
      <c r="I16" s="7"/>
    </row>
    <row r="17" spans="1:9" ht="15.75" x14ac:dyDescent="0.25">
      <c r="A17">
        <v>192</v>
      </c>
      <c r="C17" s="5" t="s">
        <v>518</v>
      </c>
      <c r="I17" s="7"/>
    </row>
    <row r="18" spans="1:9" ht="15.75" x14ac:dyDescent="0.25">
      <c r="A18">
        <v>193</v>
      </c>
      <c r="C18" s="5" t="s">
        <v>518</v>
      </c>
      <c r="I18" s="7"/>
    </row>
    <row r="19" spans="1:9" ht="15.75" x14ac:dyDescent="0.25">
      <c r="A19">
        <v>194</v>
      </c>
      <c r="C19" s="5" t="s">
        <v>518</v>
      </c>
      <c r="I19" s="7"/>
    </row>
    <row r="20" spans="1:9" ht="15.75" x14ac:dyDescent="0.25">
      <c r="A20">
        <v>195</v>
      </c>
      <c r="C20" s="5" t="s">
        <v>518</v>
      </c>
      <c r="I20" s="7"/>
    </row>
    <row r="21" spans="1:9" ht="15.75" x14ac:dyDescent="0.25">
      <c r="A21">
        <v>216</v>
      </c>
      <c r="C21" s="5" t="s">
        <v>518</v>
      </c>
      <c r="I21" s="7"/>
    </row>
    <row r="22" spans="1:9" ht="15.75" x14ac:dyDescent="0.25">
      <c r="A22">
        <v>220</v>
      </c>
      <c r="C22" s="5" t="s">
        <v>518</v>
      </c>
      <c r="I22" s="7"/>
    </row>
    <row r="23" spans="1:9" ht="15.75" x14ac:dyDescent="0.25">
      <c r="A23">
        <v>221</v>
      </c>
      <c r="C23" s="5" t="s">
        <v>518</v>
      </c>
      <c r="I23" s="7"/>
    </row>
    <row r="24" spans="1:9" ht="15.75" x14ac:dyDescent="0.25">
      <c r="A24">
        <v>222</v>
      </c>
      <c r="C24" s="5" t="s">
        <v>518</v>
      </c>
      <c r="I24" s="7"/>
    </row>
    <row r="26" spans="1:9" x14ac:dyDescent="0.25">
      <c r="E26" s="6"/>
    </row>
    <row r="29" spans="1:9" x14ac:dyDescent="0.25">
      <c r="E29" s="1"/>
    </row>
  </sheetData>
  <sortState xmlns:xlrd2="http://schemas.microsoft.com/office/spreadsheetml/2017/richdata2" ref="A1:A25">
    <sortCondition ref="A1:A25"/>
  </sortState>
  <pageMargins left="0.511811024" right="0.511811024" top="0.78740157499999996" bottom="0.78740157499999996" header="0.31496062000000002" footer="0.31496062000000002"/>
  <pageSetup paperSize="9" orientation="portrait" horizontalDpi="10" verticalDpi="15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9A2E7-EEC1-42F3-A787-5848DECC2053}">
  <dimension ref="A1:H14"/>
  <sheetViews>
    <sheetView workbookViewId="0">
      <selection activeCell="H7" sqref="H7"/>
    </sheetView>
  </sheetViews>
  <sheetFormatPr defaultRowHeight="15" x14ac:dyDescent="0.25"/>
  <cols>
    <col min="1" max="1" width="7.7109375" customWidth="1"/>
    <col min="2" max="2" width="11" bestFit="1" customWidth="1"/>
    <col min="5" max="5" width="27.42578125" bestFit="1" customWidth="1"/>
    <col min="6" max="6" width="17.28515625" bestFit="1" customWidth="1"/>
    <col min="7" max="7" width="32.140625" bestFit="1" customWidth="1"/>
  </cols>
  <sheetData>
    <row r="1" spans="1:8" x14ac:dyDescent="0.25">
      <c r="A1" t="s">
        <v>527</v>
      </c>
      <c r="B1" t="s">
        <v>618</v>
      </c>
      <c r="E1" t="s">
        <v>528</v>
      </c>
      <c r="F1" t="s">
        <v>1</v>
      </c>
      <c r="G1" t="s">
        <v>2</v>
      </c>
    </row>
    <row r="2" spans="1:8" ht="15.75" x14ac:dyDescent="0.25">
      <c r="A2">
        <v>301</v>
      </c>
      <c r="B2" t="s">
        <v>626</v>
      </c>
      <c r="C2" s="5"/>
      <c r="E2" s="1" t="s">
        <v>17</v>
      </c>
      <c r="F2" s="1" t="s">
        <v>18</v>
      </c>
      <c r="G2" s="27" t="s">
        <v>628</v>
      </c>
      <c r="H2" t="s">
        <v>629</v>
      </c>
    </row>
    <row r="3" spans="1:8" ht="15.75" x14ac:dyDescent="0.25">
      <c r="A3">
        <v>302</v>
      </c>
      <c r="B3" t="s">
        <v>619</v>
      </c>
      <c r="C3" s="5"/>
      <c r="E3" s="2" t="s">
        <v>454</v>
      </c>
      <c r="F3" s="1" t="s">
        <v>455</v>
      </c>
      <c r="G3" t="s">
        <v>567</v>
      </c>
    </row>
    <row r="4" spans="1:8" ht="15.75" x14ac:dyDescent="0.25">
      <c r="A4">
        <v>312</v>
      </c>
      <c r="B4" t="s">
        <v>622</v>
      </c>
      <c r="C4" s="5"/>
      <c r="E4" s="2" t="s">
        <v>394</v>
      </c>
      <c r="F4" s="1" t="s">
        <v>395</v>
      </c>
      <c r="G4" s="27" t="s">
        <v>628</v>
      </c>
      <c r="H4" t="s">
        <v>629</v>
      </c>
    </row>
    <row r="5" spans="1:8" ht="15.75" x14ac:dyDescent="0.25">
      <c r="A5">
        <v>313</v>
      </c>
      <c r="B5" t="s">
        <v>616</v>
      </c>
      <c r="C5" s="5"/>
      <c r="E5" s="1" t="s">
        <v>46</v>
      </c>
      <c r="F5" s="1" t="s">
        <v>47</v>
      </c>
      <c r="G5" s="27" t="s">
        <v>567</v>
      </c>
    </row>
    <row r="6" spans="1:8" ht="15.75" x14ac:dyDescent="0.25">
      <c r="A6">
        <v>314</v>
      </c>
      <c r="B6" t="s">
        <v>623</v>
      </c>
      <c r="C6" s="5"/>
      <c r="E6" s="2" t="s">
        <v>340</v>
      </c>
      <c r="F6" s="1" t="s">
        <v>341</v>
      </c>
      <c r="G6" t="s">
        <v>567</v>
      </c>
    </row>
    <row r="7" spans="1:8" ht="15.75" x14ac:dyDescent="0.25">
      <c r="A7">
        <v>315</v>
      </c>
      <c r="B7" t="s">
        <v>625</v>
      </c>
      <c r="C7" s="5"/>
      <c r="E7" s="2" t="s">
        <v>258</v>
      </c>
      <c r="F7" s="1" t="s">
        <v>259</v>
      </c>
      <c r="G7" t="s">
        <v>630</v>
      </c>
      <c r="H7" t="s">
        <v>631</v>
      </c>
    </row>
    <row r="8" spans="1:8" ht="15.75" x14ac:dyDescent="0.25">
      <c r="A8">
        <v>316</v>
      </c>
      <c r="B8" t="s">
        <v>615</v>
      </c>
      <c r="C8" s="5"/>
      <c r="E8" s="2" t="s">
        <v>240</v>
      </c>
      <c r="F8" s="1" t="s">
        <v>241</v>
      </c>
      <c r="G8" t="s">
        <v>567</v>
      </c>
    </row>
    <row r="9" spans="1:8" ht="15.75" x14ac:dyDescent="0.25">
      <c r="A9">
        <v>317</v>
      </c>
      <c r="B9" t="s">
        <v>617</v>
      </c>
      <c r="C9" s="5"/>
    </row>
    <row r="10" spans="1:8" ht="15.75" x14ac:dyDescent="0.25">
      <c r="A10">
        <v>318</v>
      </c>
      <c r="B10" t="s">
        <v>621</v>
      </c>
      <c r="C10" s="5"/>
    </row>
    <row r="11" spans="1:8" x14ac:dyDescent="0.25">
      <c r="A11">
        <v>331</v>
      </c>
      <c r="B11" t="s">
        <v>624</v>
      </c>
    </row>
    <row r="12" spans="1:8" x14ac:dyDescent="0.25">
      <c r="A12">
        <v>352</v>
      </c>
      <c r="B12" t="s">
        <v>620</v>
      </c>
    </row>
    <row r="14" spans="1:8" x14ac:dyDescent="0.25">
      <c r="A14" t="s">
        <v>627</v>
      </c>
    </row>
  </sheetData>
  <conditionalFormatting sqref="E2:F8">
    <cfRule type="expression" dxfId="4" priority="1">
      <formula>$C2="TAXBASE"</formula>
    </cfRule>
    <cfRule type="expression" dxfId="3" priority="2">
      <formula>$C2="Contato não cadastrado na empresa"</formula>
    </cfRule>
    <cfRule type="expression" dxfId="2" priority="3">
      <formula>$C2="Cliente não identificado"</formula>
    </cfRule>
    <cfRule type="expression" dxfId="1" priority="4">
      <formula>$C2="Usuario inativo ou não registrado"</formula>
    </cfRule>
    <cfRule type="expression" dxfId="0" priority="5">
      <formula>$C2="Cadastrado"</formula>
    </cfRule>
  </conditionalFormatting>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Planilha1</vt:lpstr>
      <vt:lpstr>EVANDRO</vt:lpstr>
      <vt:lpstr>OFICIAL FARMA</vt:lpstr>
      <vt:lpstr>JCF</vt:lpstr>
      <vt:lpstr>ASTRO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2026-01-20T17:32:22Z</dcterms:created>
  <dcterms:modified xsi:type="dcterms:W3CDTF">2026-02-04T15:09:13Z</dcterms:modified>
</cp:coreProperties>
</file>