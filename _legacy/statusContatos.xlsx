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Planilha1" sheetId="1" state="visible" r:id="rId1"/>
    <sheet name="EVANDRO" sheetId="2" state="visible" r:id="rId2"/>
    <sheet name="OFICIAL FARMA" sheetId="3" state="visible" r:id="rId3"/>
    <sheet name="JCF" sheetId="4" state="visible" r:id="rId4"/>
    <sheet name="ASTRO" sheetId="5" state="visible" r:id="rId5"/>
  </sheets>
  <definedNames>
    <definedName name="_xlnm._FilterDatabase" localSheetId="0" hidden="1">'Planilha1'!$A$1:$G$267</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color theme="10"/>
      <sz val="11"/>
      <u val="single"/>
      <scheme val="minor"/>
    </font>
    <font>
      <name val="Arial"/>
      <family val="2"/>
      <color rgb="FFBFBFBF"/>
      <sz val="12"/>
    </font>
    <font>
      <name val="Calibri"/>
      <family val="2"/>
      <b val="1"/>
      <color theme="1"/>
      <sz val="12"/>
      <scheme val="minor"/>
    </font>
    <font>
      <name val="Calibri"/>
      <family val="2"/>
      <color theme="1"/>
      <sz val="11"/>
      <scheme val="minor"/>
    </font>
  </fonts>
  <fills count="3">
    <fill>
      <patternFill/>
    </fill>
    <fill>
      <patternFill patternType="gray125"/>
    </fill>
    <fill>
      <patternFill patternType="solid">
        <fgColor theme="0" tint="-0.149998474074526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3">
    <xf numFmtId="0" fontId="4" fillId="0" borderId="0"/>
    <xf numFmtId="0" fontId="1" fillId="0" borderId="0"/>
    <xf numFmtId="9" fontId="4" fillId="0" borderId="0"/>
  </cellStyleXfs>
  <cellXfs count="27">
    <xf numFmtId="0" fontId="0" fillId="0" borderId="0" pivotButton="0" quotePrefix="0" xfId="0"/>
    <xf numFmtId="49" fontId="0" fillId="0" borderId="0" applyAlignment="1" pivotButton="0" quotePrefix="0" xfId="0">
      <alignment horizontal="center"/>
    </xf>
    <xf numFmtId="0" fontId="0" fillId="0" borderId="0" applyAlignment="1" pivotButton="0" quotePrefix="0" xfId="0">
      <alignment horizontal="center"/>
    </xf>
    <xf numFmtId="0" fontId="2" fillId="0" borderId="0" pivotButton="0" quotePrefix="0" xfId="0"/>
    <xf numFmtId="49" fontId="0" fillId="0" borderId="0" pivotButton="0" quotePrefix="0" xfId="0"/>
    <xf numFmtId="0" fontId="2" fillId="0" borderId="0" applyAlignment="1" pivotButton="0" quotePrefix="0" xfId="0">
      <alignment horizontal="center"/>
    </xf>
    <xf numFmtId="0" fontId="1" fillId="0" borderId="0" pivotButton="0" quotePrefix="0" xfId="1"/>
    <xf numFmtId="49" fontId="1" fillId="0" borderId="0" applyAlignment="1" pivotButton="0" quotePrefix="0" xfId="1">
      <alignment horizontal="center"/>
    </xf>
    <xf numFmtId="0" fontId="3" fillId="2" borderId="1" applyAlignment="1" pivotButton="0" quotePrefix="0" xfId="0">
      <alignment horizontal="center"/>
    </xf>
    <xf numFmtId="0" fontId="0" fillId="0" borderId="2" applyAlignment="1" pivotButton="0" quotePrefix="0" xfId="0">
      <alignment horizontal="center"/>
    </xf>
    <xf numFmtId="10" fontId="0" fillId="0" borderId="3" pivotButton="0" quotePrefix="0" xfId="0"/>
    <xf numFmtId="10" fontId="0" fillId="0" borderId="5" pivotButton="0" quotePrefix="0" xfId="0"/>
    <xf numFmtId="0" fontId="0" fillId="0" borderId="3" pivotButton="0" quotePrefix="0" xfId="0"/>
    <xf numFmtId="0" fontId="0" fillId="0" borderId="0" applyAlignment="1" pivotButton="0" quotePrefix="0" xfId="0">
      <alignment horizontal="left"/>
    </xf>
    <xf numFmtId="0" fontId="0" fillId="0" borderId="4" applyAlignment="1" pivotButton="0" quotePrefix="0" xfId="0">
      <alignment horizontal="center"/>
    </xf>
    <xf numFmtId="0" fontId="0" fillId="0" borderId="6" applyAlignment="1" pivotButton="0" quotePrefix="0" xfId="0">
      <alignment horizontal="center"/>
    </xf>
    <xf numFmtId="10" fontId="0" fillId="0" borderId="7" pivotButton="0" quotePrefix="0" xfId="0"/>
    <xf numFmtId="0" fontId="0" fillId="0" borderId="0" pivotButton="0" quotePrefix="0" xfId="0"/>
    <xf numFmtId="10" fontId="0" fillId="0" borderId="0" pivotButton="0" quotePrefix="0" xfId="0"/>
    <xf numFmtId="0" fontId="3" fillId="2" borderId="1" applyAlignment="1" pivotButton="0" quotePrefix="0" xfId="0">
      <alignment horizontal="center" vertical="center"/>
    </xf>
    <xf numFmtId="0" fontId="0" fillId="0" borderId="0" applyAlignment="1" pivotButton="0" quotePrefix="0" xfId="0">
      <alignment horizontal="center" vertical="center"/>
    </xf>
    <xf numFmtId="0" fontId="3" fillId="2" borderId="1" applyAlignment="1" pivotButton="0" quotePrefix="0" xfId="0">
      <alignment horizontal="left" vertical="center"/>
    </xf>
    <xf numFmtId="0" fontId="0" fillId="0" borderId="0" applyAlignment="1" pivotButton="0" quotePrefix="0" xfId="0">
      <alignment horizontal="left" vertical="center"/>
    </xf>
    <xf numFmtId="10" fontId="0" fillId="0" borderId="7" pivotButton="0" quotePrefix="0" xfId="2"/>
    <xf numFmtId="10" fontId="0" fillId="0" borderId="5" pivotButton="0" quotePrefix="0" xfId="2"/>
    <xf numFmtId="49" fontId="0" fillId="0" borderId="0" applyAlignment="1" pivotButton="0" quotePrefix="0" xfId="0">
      <alignment horizontal="center" vertical="center"/>
    </xf>
    <xf numFmtId="49" fontId="3" fillId="2" borderId="1" applyAlignment="1" pivotButton="0" quotePrefix="0" xfId="0">
      <alignment horizontal="center" vertical="center"/>
    </xf>
  </cellXfs>
  <cellStyles count="3">
    <cellStyle name="Normal" xfId="0" builtinId="0"/>
    <cellStyle name="Hiperlink" xfId="1" builtinId="8"/>
    <cellStyle name="Porcentagem" xfId="2" builtinId="5"/>
  </cellStyles>
  <dxfs count="20">
    <dxf>
      <fill>
        <patternFill>
          <bgColor theme="9" tint="0.3999450666829432"/>
        </patternFill>
      </fill>
      <border>
        <left style="thin">
          <color auto="1"/>
        </left>
        <right style="thin">
          <color auto="1"/>
        </right>
        <top style="thin">
          <color auto="1"/>
        </top>
        <bottom style="thin">
          <color auto="1"/>
        </bottom>
      </border>
    </dxf>
    <dxf>
      <fill>
        <patternFill>
          <bgColor theme="7" tint="0.5999633777886288"/>
        </patternFill>
      </fill>
      <border>
        <left style="thin">
          <color auto="1"/>
        </left>
        <right style="thin">
          <color auto="1"/>
        </right>
        <top style="thin">
          <color auto="1"/>
        </top>
        <bottom style="thin">
          <color auto="1"/>
        </bottom>
        <vertical/>
        <horizontal/>
      </border>
    </dxf>
    <dxf>
      <fill>
        <patternFill>
          <bgColor rgb="FFFB5F5F"/>
        </patternFill>
      </fill>
      <border>
        <left style="thin">
          <color auto="1"/>
        </left>
        <right style="thin">
          <color auto="1"/>
        </right>
        <top style="thin">
          <color auto="1"/>
        </top>
        <bottom style="thin">
          <color auto="1"/>
        </bottom>
        <vertical/>
        <horizontal/>
      </border>
    </dxf>
    <dxf>
      <fill>
        <patternFill>
          <bgColor theme="6" tint="0.3999450666829432"/>
        </patternFill>
      </fill>
      <border>
        <left style="thin">
          <color auto="1"/>
        </left>
        <right style="thin">
          <color auto="1"/>
        </right>
        <top style="thin">
          <color auto="1"/>
        </top>
        <bottom style="thin">
          <color auto="1"/>
        </bottom>
        <vertical/>
        <horizontal/>
      </border>
    </dxf>
    <dxf>
      <fill>
        <patternFill>
          <bgColor theme="8" tint="-0.249946592608417"/>
        </patternFill>
      </fill>
      <border>
        <left style="thin">
          <color auto="1"/>
        </left>
        <right style="thin">
          <color auto="1"/>
        </right>
        <top style="thin">
          <color auto="1"/>
        </top>
        <bottom style="thin">
          <color auto="1"/>
        </bottom>
        <vertical/>
        <horizontal/>
      </border>
    </dxf>
    <dxf>
      <fill>
        <patternFill>
          <bgColor theme="9" tint="0.3999450666829432"/>
        </patternFill>
      </fill>
      <border>
        <left style="thin">
          <color auto="1"/>
        </left>
        <right style="thin">
          <color auto="1"/>
        </right>
        <top style="thin">
          <color auto="1"/>
        </top>
        <bottom style="thin">
          <color auto="1"/>
        </bottom>
      </border>
    </dxf>
    <dxf>
      <fill>
        <patternFill>
          <bgColor theme="7" tint="0.5999633777886288"/>
        </patternFill>
      </fill>
      <border>
        <left style="thin">
          <color auto="1"/>
        </left>
        <right style="thin">
          <color auto="1"/>
        </right>
        <top style="thin">
          <color auto="1"/>
        </top>
        <bottom style="thin">
          <color auto="1"/>
        </bottom>
        <vertical/>
        <horizontal/>
      </border>
    </dxf>
    <dxf>
      <fill>
        <patternFill>
          <bgColor rgb="FFFB5F5F"/>
        </patternFill>
      </fill>
      <border>
        <left style="thin">
          <color auto="1"/>
        </left>
        <right style="thin">
          <color auto="1"/>
        </right>
        <top style="thin">
          <color auto="1"/>
        </top>
        <bottom style="thin">
          <color auto="1"/>
        </bottom>
        <vertical/>
        <horizontal/>
      </border>
    </dxf>
    <dxf>
      <fill>
        <patternFill>
          <bgColor theme="6" tint="0.3999450666829432"/>
        </patternFill>
      </fill>
      <border>
        <left style="thin">
          <color auto="1"/>
        </left>
        <right style="thin">
          <color auto="1"/>
        </right>
        <top style="thin">
          <color auto="1"/>
        </top>
        <bottom style="thin">
          <color auto="1"/>
        </bottom>
        <vertical/>
        <horizontal/>
      </border>
    </dxf>
    <dxf>
      <fill>
        <patternFill>
          <bgColor theme="8" tint="-0.249946592608417"/>
        </patternFill>
      </fill>
      <border>
        <left style="thin">
          <color auto="1"/>
        </left>
        <right style="thin">
          <color auto="1"/>
        </right>
        <top style="thin">
          <color auto="1"/>
        </top>
        <bottom style="thin">
          <color auto="1"/>
        </bottom>
        <vertical/>
        <horizontal/>
      </border>
    </dxf>
    <dxf>
      <fill>
        <patternFill>
          <bgColor theme="9" tint="0.3999450666829432"/>
        </patternFill>
      </fill>
      <border>
        <left style="thin">
          <color auto="1"/>
        </left>
        <right style="thin">
          <color auto="1"/>
        </right>
        <top style="thin">
          <color auto="1"/>
        </top>
        <bottom style="thin">
          <color auto="1"/>
        </bottom>
      </border>
    </dxf>
    <dxf>
      <fill>
        <patternFill>
          <bgColor theme="7" tint="0.5999633777886288"/>
        </patternFill>
      </fill>
      <border>
        <left style="thin">
          <color auto="1"/>
        </left>
        <right style="thin">
          <color auto="1"/>
        </right>
        <top style="thin">
          <color auto="1"/>
        </top>
        <bottom style="thin">
          <color auto="1"/>
        </bottom>
        <vertical/>
        <horizontal/>
      </border>
    </dxf>
    <dxf>
      <fill>
        <patternFill>
          <bgColor rgb="FFFB5F5F"/>
        </patternFill>
      </fill>
      <border>
        <left style="thin">
          <color auto="1"/>
        </left>
        <right style="thin">
          <color auto="1"/>
        </right>
        <top style="thin">
          <color auto="1"/>
        </top>
        <bottom style="thin">
          <color auto="1"/>
        </bottom>
        <vertical/>
        <horizontal/>
      </border>
    </dxf>
    <dxf>
      <fill>
        <patternFill>
          <bgColor theme="6" tint="0.3999450666829432"/>
        </patternFill>
      </fill>
      <border>
        <left style="thin">
          <color auto="1"/>
        </left>
        <right style="thin">
          <color auto="1"/>
        </right>
        <top style="thin">
          <color auto="1"/>
        </top>
        <bottom style="thin">
          <color auto="1"/>
        </bottom>
        <vertical/>
        <horizontal/>
      </border>
    </dxf>
    <dxf>
      <fill>
        <patternFill>
          <bgColor theme="8" tint="-0.249946592608417"/>
        </patternFill>
      </fill>
      <border>
        <left style="thin">
          <color auto="1"/>
        </left>
        <right style="thin">
          <color auto="1"/>
        </right>
        <top style="thin">
          <color auto="1"/>
        </top>
        <bottom style="thin">
          <color auto="1"/>
        </bottom>
        <vertical/>
        <horizontal/>
      </border>
    </dxf>
    <dxf>
      <fill>
        <patternFill>
          <bgColor theme="9" tint="0.3999450666829432"/>
        </patternFill>
      </fill>
      <border>
        <left style="thin">
          <color auto="1"/>
        </left>
        <right style="thin">
          <color auto="1"/>
        </right>
        <top style="thin">
          <color auto="1"/>
        </top>
        <bottom style="thin">
          <color auto="1"/>
        </bottom>
      </border>
    </dxf>
    <dxf>
      <fill>
        <patternFill>
          <bgColor theme="7" tint="0.5999633777886288"/>
        </patternFill>
      </fill>
      <border>
        <left style="thin">
          <color auto="1"/>
        </left>
        <right style="thin">
          <color auto="1"/>
        </right>
        <top style="thin">
          <color auto="1"/>
        </top>
        <bottom style="thin">
          <color auto="1"/>
        </bottom>
        <vertical/>
        <horizontal/>
      </border>
    </dxf>
    <dxf>
      <fill>
        <patternFill>
          <bgColor rgb="FFFB5F5F"/>
        </patternFill>
      </fill>
      <border>
        <left style="thin">
          <color auto="1"/>
        </left>
        <right style="thin">
          <color auto="1"/>
        </right>
        <top style="thin">
          <color auto="1"/>
        </top>
        <bottom style="thin">
          <color auto="1"/>
        </bottom>
        <vertical/>
        <horizontal/>
      </border>
    </dxf>
    <dxf>
      <fill>
        <patternFill>
          <bgColor theme="6" tint="0.3999450666829432"/>
        </patternFill>
      </fill>
      <border>
        <left style="thin">
          <color auto="1"/>
        </left>
        <right style="thin">
          <color auto="1"/>
        </right>
        <top style="thin">
          <color auto="1"/>
        </top>
        <bottom style="thin">
          <color auto="1"/>
        </bottom>
        <vertical/>
        <horizontal/>
      </border>
    </dxf>
    <dxf>
      <fill>
        <patternFill>
          <bgColor theme="8" tint="-0.249946592608417"/>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294"/>
  <sheetViews>
    <sheetView tabSelected="1" topLeftCell="A85" zoomScaleNormal="100" workbookViewId="0">
      <selection activeCell="C287" sqref="C287"/>
    </sheetView>
  </sheetViews>
  <sheetFormatPr baseColWidth="8" defaultRowHeight="15"/>
  <cols>
    <col width="42.28515625" bestFit="1" customWidth="1" style="20" min="1" max="1"/>
    <col width="17.28515625" bestFit="1" customWidth="1" style="25" min="2" max="2"/>
    <col width="33.140625" bestFit="1" customWidth="1" style="20" min="3" max="3"/>
    <col width="20.7109375" customWidth="1" style="20" min="4" max="4"/>
    <col width="23.5703125" bestFit="1" customWidth="1" style="20" min="5" max="5"/>
    <col width="38" customWidth="1" style="22" min="6" max="6"/>
    <col width="18.85546875" bestFit="1" customWidth="1" style="17" min="7" max="7"/>
    <col width="33.140625" bestFit="1" customWidth="1" style="17" min="8" max="8"/>
  </cols>
  <sheetData>
    <row r="1" ht="15.75" customHeight="1" s="17">
      <c r="A1" s="19" t="inlineStr">
        <is>
          <t>Nome do Contato</t>
        </is>
      </c>
      <c r="B1" s="26" t="inlineStr">
        <is>
          <t>Telefone</t>
        </is>
      </c>
      <c r="C1" s="19" t="inlineStr">
        <is>
          <t>Status</t>
        </is>
      </c>
      <c r="D1" s="19" t="inlineStr">
        <is>
          <t>ID CLIENTE</t>
        </is>
      </c>
      <c r="E1" s="19" t="inlineStr">
        <is>
          <t>NOME CLIENTE</t>
        </is>
      </c>
      <c r="F1" s="21" t="inlineStr">
        <is>
          <t>OBS</t>
        </is>
      </c>
      <c r="G1" s="8" t="inlineStr">
        <is>
          <t>Email Temporario</t>
        </is>
      </c>
      <c r="H1" s="8" t="inlineStr">
        <is>
          <t>Estatisticas - MESSENGER</t>
        </is>
      </c>
      <c r="I1" s="8" t="inlineStr">
        <is>
          <t>n</t>
        </is>
      </c>
    </row>
    <row r="2">
      <c r="A2" s="20" t="inlineStr">
        <is>
          <t>Adriana Gavlik</t>
        </is>
      </c>
      <c r="B2" s="25" t="inlineStr">
        <is>
          <t>+55 45 99944-0026</t>
        </is>
      </c>
      <c r="C2" s="20" t="inlineStr">
        <is>
          <t>Cadastrado</t>
        </is>
      </c>
      <c r="D2" s="20" t="n">
        <v>43</v>
      </c>
      <c r="E2" s="20" t="inlineStr">
        <is>
          <t>AF</t>
        </is>
      </c>
      <c r="H2" s="9" t="inlineStr">
        <is>
          <t>Total de Contatos</t>
        </is>
      </c>
      <c r="I2" s="12">
        <f>COUNTA(C2:C1000)</f>
        <v/>
      </c>
    </row>
    <row r="3">
      <c r="A3" s="20" t="inlineStr">
        <is>
          <t>Adriana LA TRATORIA</t>
        </is>
      </c>
      <c r="B3" s="25" t="inlineStr">
        <is>
          <t>+55 11 97621-3443</t>
        </is>
      </c>
      <c r="C3" s="20" t="inlineStr">
        <is>
          <t>Cadastrado</t>
        </is>
      </c>
      <c r="D3" s="20" t="n">
        <v>123</v>
      </c>
      <c r="E3" s="20" t="inlineStr">
        <is>
          <t>LA TRATTORIA</t>
        </is>
      </c>
      <c r="H3" s="15" t="inlineStr">
        <is>
          <t>Cadastrado</t>
        </is>
      </c>
      <c r="I3" s="16">
        <f>(COUNTIF($C$2:$C$1000, H3))/$I$2</f>
        <v/>
      </c>
      <c r="J3">
        <f>I3*$I$2</f>
        <v/>
      </c>
    </row>
    <row r="4">
      <c r="A4" s="20" t="inlineStr">
        <is>
          <t>Amanda - Mentes Milionarias</t>
        </is>
      </c>
      <c r="B4" s="25" t="inlineStr">
        <is>
          <t xml:space="preserve"> +55 11 96279-2313</t>
        </is>
      </c>
      <c r="C4" s="20" t="inlineStr">
        <is>
          <t>Cadastrado</t>
        </is>
      </c>
      <c r="D4" s="20" t="inlineStr">
        <is>
          <t>238 240 244 247 249 250 251 252 253</t>
        </is>
      </c>
      <c r="E4" s="20" t="inlineStr">
        <is>
          <t>EVANDRO</t>
        </is>
      </c>
      <c r="F4" s="22" t="inlineStr">
        <is>
          <t>Cadastrado apenas no ID 238</t>
        </is>
      </c>
      <c r="H4" s="15" t="inlineStr">
        <is>
          <t>Cliente não identificado</t>
        </is>
      </c>
      <c r="I4" s="16">
        <f>(COUNTIF($C$2:$C$1000, H4))/$I$2</f>
        <v/>
      </c>
      <c r="J4">
        <f>I4*$I$2</f>
        <v/>
      </c>
    </row>
    <row r="5">
      <c r="A5" s="20" t="inlineStr">
        <is>
          <t>Amanda (SafetyMed)</t>
        </is>
      </c>
      <c r="B5" s="25" t="inlineStr">
        <is>
          <t>+55 21 97494-1655</t>
        </is>
      </c>
      <c r="C5" s="20" t="inlineStr">
        <is>
          <t>Cadastrado</t>
        </is>
      </c>
      <c r="D5" s="20" t="inlineStr">
        <is>
          <t>223 224 225</t>
        </is>
      </c>
      <c r="E5" s="20" t="inlineStr">
        <is>
          <t>SAFETYMED</t>
        </is>
      </c>
      <c r="H5" s="15" t="inlineStr">
        <is>
          <t>Contato não cadastrado na empresa</t>
        </is>
      </c>
      <c r="I5" s="16">
        <f>(COUNTIF($C$2:$C$1000, H5))/$I$2</f>
        <v/>
      </c>
      <c r="J5">
        <f>I5*$I$2</f>
        <v/>
      </c>
    </row>
    <row r="6">
      <c r="A6" s="20" t="inlineStr">
        <is>
          <t>Andrea (Embamac)</t>
        </is>
      </c>
      <c r="B6" s="25" t="inlineStr">
        <is>
          <t>+55 14 98139-0921</t>
        </is>
      </c>
      <c r="C6" s="20" t="inlineStr">
        <is>
          <t>Cadastrado</t>
        </is>
      </c>
      <c r="D6" s="20" t="inlineStr">
        <is>
          <t>21 117 118</t>
        </is>
      </c>
      <c r="E6" s="20" t="inlineStr">
        <is>
          <t>EMBAMAC</t>
        </is>
      </c>
      <c r="F6" s="22" t="inlineStr">
        <is>
          <t>Cadastrado apenas no ID 117</t>
        </is>
      </c>
      <c r="H6" s="15" t="inlineStr">
        <is>
          <t>Usuario inativo ou não registrado</t>
        </is>
      </c>
      <c r="I6" s="16">
        <f>(COUNTIF($C$2:$C$1000, H6))/$I$2</f>
        <v/>
      </c>
      <c r="J6">
        <f>I6*$I$2</f>
        <v/>
      </c>
    </row>
    <row r="7">
      <c r="A7" s="20" t="inlineStr">
        <is>
          <t>Angelica (Sócia Bundchen)</t>
        </is>
      </c>
      <c r="B7" s="25" t="inlineStr">
        <is>
          <t>+55 53 99963-2438</t>
        </is>
      </c>
      <c r="C7" s="20" t="inlineStr">
        <is>
          <t>Cadastrado</t>
        </is>
      </c>
      <c r="D7" s="20" t="n">
        <v>258</v>
      </c>
      <c r="E7" s="20" t="inlineStr">
        <is>
          <t>BUNDCHEN VETERINARIA</t>
        </is>
      </c>
      <c r="H7" s="15" t="inlineStr">
        <is>
          <t>GRUPO</t>
        </is>
      </c>
      <c r="I7" s="16">
        <f>(COUNTIF($C$2:$C$1000, H7))/$I$2</f>
        <v/>
      </c>
      <c r="J7">
        <f>I7*$I$2</f>
        <v/>
      </c>
    </row>
    <row r="8">
      <c r="A8" s="20" t="inlineStr">
        <is>
          <t>ASTRO 34</t>
        </is>
      </c>
      <c r="B8" s="25" t="inlineStr">
        <is>
          <t>+55 11 97351-6525</t>
        </is>
      </c>
      <c r="C8" s="20" t="inlineStr">
        <is>
          <t>Cadastrado</t>
        </is>
      </c>
      <c r="D8" s="20" t="inlineStr">
        <is>
          <t>301 302 312 313 314 315 316 317 318 331 352</t>
        </is>
      </c>
      <c r="E8" s="20" t="inlineStr">
        <is>
          <t>ASTRO</t>
        </is>
      </c>
      <c r="F8" s="22" t="inlineStr">
        <is>
          <t>Willian | Cadastrado em 301 302 312 313 314 315 316 317 318 | Não cadastrado em 331 e 352</t>
        </is>
      </c>
      <c r="H8" s="15" t="inlineStr">
        <is>
          <t>TAXBASE</t>
        </is>
      </c>
      <c r="I8" s="16">
        <f>(COUNTIF($C$2:$C$1000, H8))/$I$2</f>
        <v/>
      </c>
      <c r="J8">
        <f>I8*$I$2</f>
        <v/>
      </c>
    </row>
    <row r="9">
      <c r="A9" s="20" t="inlineStr">
        <is>
          <t>Beatriz</t>
        </is>
      </c>
      <c r="B9" s="25" t="inlineStr">
        <is>
          <t>+55 19 99848-7672</t>
        </is>
      </c>
      <c r="C9" s="20" t="inlineStr">
        <is>
          <t>Cadastrado</t>
        </is>
      </c>
      <c r="D9" s="20" t="inlineStr">
        <is>
          <t>279 280 281 282</t>
        </is>
      </c>
      <c r="E9" s="20" t="inlineStr">
        <is>
          <t>SORVFOODS</t>
        </is>
      </c>
      <c r="H9" s="15" t="inlineStr">
        <is>
          <t>IGNORAR</t>
        </is>
      </c>
      <c r="I9" s="16">
        <f>(COUNTIF($C$2:$C$1000, H9))/$I$2</f>
        <v/>
      </c>
      <c r="J9">
        <f>I9*$I$2</f>
        <v/>
      </c>
    </row>
    <row r="10">
      <c r="A10" s="20" t="inlineStr">
        <is>
          <t>Bianca (Grupo Ciclomade)</t>
        </is>
      </c>
      <c r="B10" s="25" t="inlineStr">
        <is>
          <t>+55 16 98160-3872</t>
        </is>
      </c>
      <c r="C10" s="20" t="inlineStr">
        <is>
          <t>Cadastrado</t>
        </is>
      </c>
      <c r="D10" s="20" t="n">
        <v>81</v>
      </c>
      <c r="E10" s="20" t="inlineStr">
        <is>
          <t>CICLOMADE</t>
        </is>
      </c>
      <c r="H10" s="14" t="inlineStr">
        <is>
          <t>Temporario</t>
        </is>
      </c>
      <c r="I10" s="11">
        <f>(COUNTIF($C$2:$C$1000, H10))/$I$2</f>
        <v/>
      </c>
      <c r="J10">
        <f>I10*$I$2</f>
        <v/>
      </c>
    </row>
    <row r="11">
      <c r="A11" s="20" t="inlineStr">
        <is>
          <t>Bruno - CARGO - CHINA</t>
        </is>
      </c>
      <c r="B11" s="25" t="inlineStr">
        <is>
          <t>+55 11 91647-0010</t>
        </is>
      </c>
      <c r="C11" s="20" t="inlineStr">
        <is>
          <t>Cadastrado</t>
        </is>
      </c>
      <c r="D11" s="20" t="n">
        <v>334</v>
      </c>
      <c r="E11" s="20" t="inlineStr">
        <is>
          <t>CARGO</t>
        </is>
      </c>
    </row>
    <row r="12">
      <c r="A12" s="20" t="inlineStr">
        <is>
          <t>Carolina L'Essence</t>
        </is>
      </c>
      <c r="B12" s="25" t="inlineStr">
        <is>
          <t>+55 11 97624-1816</t>
        </is>
      </c>
      <c r="C12" s="20" t="inlineStr">
        <is>
          <t>Cadastrado</t>
        </is>
      </c>
      <c r="D12" s="20" t="n">
        <v>275</v>
      </c>
      <c r="E12" s="20" t="inlineStr">
        <is>
          <t>L'ESSENCE</t>
        </is>
      </c>
      <c r="H12" s="9" t="inlineStr">
        <is>
          <t>Feitos</t>
        </is>
      </c>
      <c r="I12" s="10">
        <f>I3+I8+I9+I10+I7</f>
        <v/>
      </c>
      <c r="J12">
        <f>I12*$I$2</f>
        <v/>
      </c>
    </row>
    <row r="13">
      <c r="A13" s="20" t="inlineStr">
        <is>
          <t>Claudia  (Grupo Jogê )</t>
        </is>
      </c>
      <c r="B13" s="25" t="inlineStr">
        <is>
          <t>+55 11 94523-1714</t>
        </is>
      </c>
      <c r="C13" s="20" t="inlineStr">
        <is>
          <t>Cadastrado</t>
        </is>
      </c>
      <c r="D13" s="20" t="inlineStr">
        <is>
          <t>177 178 179 180 181 182 183 184 185 186 187 188 189 190 191 192 193 194 195 196 197 198 199 200 201 202 203 211 216 220 221 222 254 255</t>
        </is>
      </c>
      <c r="E13" s="20" t="inlineStr">
        <is>
          <t>JCF</t>
        </is>
      </c>
      <c r="F13" s="22" t="inlineStr">
        <is>
          <t>Contato não cadastrado nos IDs 216, 222, 190, 187, 188, 189, 191, 192, 193, 194, 195, 211, 220 e 221 | Cadastrado nos demais IDs</t>
        </is>
      </c>
      <c r="H13" s="14" t="inlineStr">
        <is>
          <t>Falta</t>
        </is>
      </c>
      <c r="I13" s="11">
        <f>SUM(I4:I6)</f>
        <v/>
      </c>
      <c r="J13">
        <f>I13*$I$2</f>
        <v/>
      </c>
    </row>
    <row r="14">
      <c r="A14" s="20" t="inlineStr">
        <is>
          <t>Claudia (Grupo Jogê )</t>
        </is>
      </c>
      <c r="B14" s="25" t="inlineStr">
        <is>
          <t>+55 11 94523-1714</t>
        </is>
      </c>
      <c r="C14" s="20" t="inlineStr">
        <is>
          <t>Cadastrado</t>
        </is>
      </c>
      <c r="D14" s="20" t="inlineStr">
        <is>
          <t>177 178 179 180 181 182 183 184 185 186 187 188 189 190 191 192 193 194 195 196 197 198 199 200 201 202 203 211 216 220 221 222 254 255</t>
        </is>
      </c>
      <c r="E14" s="20" t="inlineStr">
        <is>
          <t>JCF</t>
        </is>
      </c>
      <c r="F14" s="22" t="inlineStr">
        <is>
          <t>Contato não cadastrado nos IDs 216, 222, 190, 187, 188, 189, 191, 192, 193, 194, 195, 211, 220 e 221 | Cadastrado nos demais IDs</t>
        </is>
      </c>
    </row>
    <row r="15">
      <c r="A15" s="20" t="inlineStr">
        <is>
          <t>Clovis OF</t>
        </is>
      </c>
      <c r="B15" s="25" t="inlineStr">
        <is>
          <t>+5511976163753</t>
        </is>
      </c>
      <c r="C15" s="20" t="inlineStr">
        <is>
          <t>Cadastrado</t>
        </is>
      </c>
      <c r="D15" s="20" t="inlineStr">
        <is>
          <t>7 8 9 11 12 13 14 15 16 18 66</t>
        </is>
      </c>
      <c r="E15" s="20" t="inlineStr">
        <is>
          <t>OFICIAL FARMA</t>
        </is>
      </c>
      <c r="I15" s="18" t="n"/>
    </row>
    <row r="16" ht="15.75" customHeight="1" s="17">
      <c r="A16" s="20" t="inlineStr">
        <is>
          <t>Daniel Financeiro - AF</t>
        </is>
      </c>
      <c r="B16" s="25" t="inlineStr">
        <is>
          <t>+5511943023003</t>
        </is>
      </c>
      <c r="C16" s="20" t="inlineStr">
        <is>
          <t>Cadastrado</t>
        </is>
      </c>
      <c r="D16" s="20" t="n">
        <v>28</v>
      </c>
      <c r="E16" s="20" t="inlineStr">
        <is>
          <t>AF</t>
        </is>
      </c>
      <c r="H16" s="8" t="inlineStr">
        <is>
          <t>Estatisticas - NOSSO SISTEMA</t>
        </is>
      </c>
      <c r="I16" s="8" t="inlineStr">
        <is>
          <t>n</t>
        </is>
      </c>
    </row>
    <row r="17">
      <c r="A17" s="20" t="inlineStr">
        <is>
          <t>Daniel MY BAKER</t>
        </is>
      </c>
      <c r="B17" s="25" t="inlineStr">
        <is>
          <t>+5511983709366</t>
        </is>
      </c>
      <c r="C17" s="20" t="inlineStr">
        <is>
          <t>Cadastrado</t>
        </is>
      </c>
      <c r="D17" s="20" t="inlineStr">
        <is>
          <t>205 206 209 210 361</t>
        </is>
      </c>
      <c r="E17" s="20" t="inlineStr">
        <is>
          <t>MY BAKER</t>
        </is>
      </c>
      <c r="F17" s="22" t="inlineStr">
        <is>
          <t>Cadastrado apenas em 205 206 | Não cadastrado em 209 210 361</t>
        </is>
      </c>
      <c r="H17" s="9" t="inlineStr">
        <is>
          <t>Total de Contatos</t>
        </is>
      </c>
      <c r="I17" s="12">
        <f>COUNTA(C2:C1000)</f>
        <v/>
      </c>
    </row>
    <row r="18">
      <c r="A18" s="20" t="inlineStr">
        <is>
          <t>Davison - Los Chefes</t>
        </is>
      </c>
      <c r="B18" s="25" t="inlineStr">
        <is>
          <t>+5511980481961</t>
        </is>
      </c>
      <c r="C18" s="20" t="inlineStr">
        <is>
          <t>Cadastrado</t>
        </is>
      </c>
      <c r="D18" s="20" t="n">
        <v>231</v>
      </c>
      <c r="E18" s="20" t="inlineStr">
        <is>
          <t>LOS CHEFES</t>
        </is>
      </c>
      <c r="H18" s="15" t="inlineStr">
        <is>
          <t>Cliente Cadastrado</t>
        </is>
      </c>
      <c r="I18" s="23">
        <f>COUNTIF(E2:E1000,"&lt;&gt;")/I17</f>
        <v/>
      </c>
      <c r="J18">
        <f>I18*I17</f>
        <v/>
      </c>
    </row>
    <row r="19">
      <c r="A19" s="20" t="inlineStr">
        <is>
          <t>Deivid Soeiro</t>
        </is>
      </c>
      <c r="B19" s="25" t="inlineStr">
        <is>
          <t>+5527992891241</t>
        </is>
      </c>
      <c r="C19" s="20" t="inlineStr">
        <is>
          <t>Cadastrado</t>
        </is>
      </c>
      <c r="D19" s="20" t="inlineStr">
        <is>
          <t>176 236 268 270</t>
        </is>
      </c>
      <c r="E19" s="20" t="inlineStr">
        <is>
          <t>MBA</t>
        </is>
      </c>
      <c r="H19" s="14" t="inlineStr">
        <is>
          <t>Não Cadastrado</t>
        </is>
      </c>
      <c r="I19" s="24">
        <f>1-I18</f>
        <v/>
      </c>
      <c r="J19">
        <f>I19*I17</f>
        <v/>
      </c>
    </row>
    <row r="20">
      <c r="A20" s="20" t="inlineStr">
        <is>
          <t>Denis (CAMPOS COMERCIO)</t>
        </is>
      </c>
      <c r="B20" s="25" t="inlineStr">
        <is>
          <t>+5511930129235</t>
        </is>
      </c>
      <c r="C20" s="20" t="inlineStr">
        <is>
          <t>Cadastrado</t>
        </is>
      </c>
      <c r="D20" s="20" t="n">
        <v>233</v>
      </c>
      <c r="E20" s="20" t="inlineStr">
        <is>
          <t>D CAMPOS</t>
        </is>
      </c>
    </row>
    <row r="21">
      <c r="A21" s="20" t="inlineStr">
        <is>
          <t>Eliá (Monteiro)</t>
        </is>
      </c>
      <c r="B21" s="25" t="inlineStr">
        <is>
          <t>+5511979662616</t>
        </is>
      </c>
      <c r="C21" s="20" t="inlineStr">
        <is>
          <t>Cadastrado</t>
        </is>
      </c>
      <c r="D21" s="20" t="n">
        <v>295</v>
      </c>
      <c r="E21" s="20" t="inlineStr">
        <is>
          <t>PJ OF</t>
        </is>
      </c>
    </row>
    <row r="22">
      <c r="A22" s="20" t="inlineStr">
        <is>
          <t>Elisa (Grupo Jogê)</t>
        </is>
      </c>
      <c r="B22" s="25" t="inlineStr">
        <is>
          <t>+5511959776291</t>
        </is>
      </c>
      <c r="C22" s="20" t="inlineStr">
        <is>
          <t>Cadastrado</t>
        </is>
      </c>
      <c r="D22" s="20" t="inlineStr">
        <is>
          <t>177 178 179 180 181 182 183 184 185 186 187 188 189 190 191 192 193 194 195 196 197 198 199 200 201 202 203 211 216 220 221 222 254 255</t>
        </is>
      </c>
      <c r="E22" s="20" t="inlineStr">
        <is>
          <t>JCF</t>
        </is>
      </c>
      <c r="F22" s="22" t="inlineStr">
        <is>
          <t>Contato não cadastrado nos IDS 220, 221 e 222 | Cadastrado nos demais Ids</t>
        </is>
      </c>
    </row>
    <row r="23">
      <c r="A23" s="20" t="inlineStr">
        <is>
          <t>Elizabeth / Lays - Sorvfoods</t>
        </is>
      </c>
      <c r="B23" s="25" t="inlineStr">
        <is>
          <t>+5519982290741</t>
        </is>
      </c>
      <c r="C23" s="20" t="inlineStr">
        <is>
          <t>Cadastrado</t>
        </is>
      </c>
      <c r="D23" s="20" t="inlineStr">
        <is>
          <t>279 280 281 282</t>
        </is>
      </c>
      <c r="E23" s="20" t="inlineStr">
        <is>
          <t>SORVFOODS</t>
        </is>
      </c>
    </row>
    <row r="24">
      <c r="A24" s="20" t="inlineStr">
        <is>
          <t xml:space="preserve">Emiliano Spyer Drakos </t>
        </is>
      </c>
      <c r="B24" s="25" t="inlineStr">
        <is>
          <t>+5511950652388</t>
        </is>
      </c>
      <c r="C24" s="20" t="inlineStr">
        <is>
          <t>Cadastrado</t>
        </is>
      </c>
      <c r="D24" s="20" t="n">
        <v>169</v>
      </c>
      <c r="E24" s="20" t="inlineStr">
        <is>
          <t>VAII</t>
        </is>
      </c>
    </row>
    <row r="25">
      <c r="A25" s="20" t="inlineStr">
        <is>
          <t>Erica Soares (Jogê)</t>
        </is>
      </c>
      <c r="B25" s="25" t="inlineStr">
        <is>
          <t>+5511952480061</t>
        </is>
      </c>
      <c r="C25" s="20" t="inlineStr">
        <is>
          <t>Cadastrado</t>
        </is>
      </c>
      <c r="D25" s="20" t="inlineStr">
        <is>
          <t>177 178 179 180 181 182 183 184 185 186 187 188 189 190 191 192 193 194 195 196 197 198 199 200 201 202 203 211 216 220 221 222 254 255</t>
        </is>
      </c>
      <c r="E25" s="20" t="inlineStr">
        <is>
          <t>JCF</t>
        </is>
      </c>
      <c r="F25" s="22" t="inlineStr">
        <is>
          <t>Contato cadastrado apenas no ID 177, nos demais, existe o contato 'Rafael e Elisa e Erica', que esta inativo</t>
        </is>
      </c>
    </row>
    <row r="26">
      <c r="A26" s="20" t="inlineStr">
        <is>
          <t>Ewerton (Grupo Techposto)</t>
        </is>
      </c>
      <c r="B26" s="25" t="inlineStr">
        <is>
          <t>+5511915839446</t>
        </is>
      </c>
      <c r="C26" s="20" t="inlineStr">
        <is>
          <t>Cadastrado</t>
        </is>
      </c>
      <c r="D26" s="20" t="inlineStr">
        <is>
          <t>161 162 163</t>
        </is>
      </c>
      <c r="E26" s="20" t="inlineStr">
        <is>
          <t>TECHPOSTO</t>
        </is>
      </c>
    </row>
    <row r="27">
      <c r="A27" s="20" t="inlineStr">
        <is>
          <t>Fabricio (Grupo TJ Transportes)</t>
        </is>
      </c>
      <c r="B27" s="25" t="inlineStr">
        <is>
          <t>+5511977561018</t>
        </is>
      </c>
      <c r="C27" s="20" t="inlineStr">
        <is>
          <t>Cadastrado</t>
        </is>
      </c>
      <c r="D27" s="20" t="n">
        <v>143</v>
      </c>
      <c r="E27" s="20" t="inlineStr">
        <is>
          <t>JT</t>
        </is>
      </c>
    </row>
    <row r="28">
      <c r="A28" s="20" t="inlineStr">
        <is>
          <t>Fernanda - Oficial Farma</t>
        </is>
      </c>
      <c r="B28" s="25" t="inlineStr">
        <is>
          <t>+5511974257597</t>
        </is>
      </c>
      <c r="C28" s="20" t="inlineStr">
        <is>
          <t>Cadastrado</t>
        </is>
      </c>
      <c r="D28" s="20" t="inlineStr">
        <is>
          <t>7 8 9 11 12 13 14 15 16 18 66</t>
        </is>
      </c>
      <c r="E28" s="20" t="inlineStr">
        <is>
          <t>OFICIAL FARMA</t>
        </is>
      </c>
    </row>
    <row r="29">
      <c r="A29" s="20" t="inlineStr">
        <is>
          <t>Fernanda (Anna Terra)</t>
        </is>
      </c>
      <c r="B29" s="25" t="inlineStr">
        <is>
          <t>+5519999469102</t>
        </is>
      </c>
      <c r="C29" s="20" t="inlineStr">
        <is>
          <t>Cadastrado</t>
        </is>
      </c>
      <c r="D29" s="20" t="inlineStr">
        <is>
          <t>290 291 307</t>
        </is>
      </c>
      <c r="E29" s="20" t="inlineStr">
        <is>
          <t>ANNA TERRA</t>
        </is>
      </c>
      <c r="F29" s="22" t="inlineStr">
        <is>
          <t>Contato não cadastrado no ID 307 | Cadastrado em 290 e 291</t>
        </is>
      </c>
    </row>
    <row r="30">
      <c r="A30" s="20" t="inlineStr">
        <is>
          <t>Fernanda LOUNGE HAIR</t>
        </is>
      </c>
      <c r="B30" s="25" t="inlineStr">
        <is>
          <t>+5511950505098</t>
        </is>
      </c>
      <c r="C30" s="20" t="inlineStr">
        <is>
          <t>Cadastrado</t>
        </is>
      </c>
      <c r="D30" s="20" t="n">
        <v>329</v>
      </c>
      <c r="E30" s="20" t="inlineStr">
        <is>
          <t>LOUNGE HAIR</t>
        </is>
      </c>
    </row>
    <row r="31">
      <c r="A31" s="20" t="inlineStr">
        <is>
          <t>Financeiro - (Infinite Móveis)</t>
        </is>
      </c>
      <c r="B31" s="25" t="inlineStr">
        <is>
          <t>+5511944626829</t>
        </is>
      </c>
      <c r="C31" s="20" t="inlineStr">
        <is>
          <t>Cadastrado</t>
        </is>
      </c>
      <c r="D31" s="20" t="n">
        <v>289</v>
      </c>
      <c r="E31" s="20" t="inlineStr">
        <is>
          <t>INFINITE MOVEIS</t>
        </is>
      </c>
    </row>
    <row r="32">
      <c r="A32" s="20" t="inlineStr">
        <is>
          <t>Gabriel (Metalúrgica Porto)</t>
        </is>
      </c>
      <c r="B32" s="25" t="inlineStr">
        <is>
          <t>+5577999740692</t>
        </is>
      </c>
      <c r="C32" s="20" t="inlineStr">
        <is>
          <t>Cadastrado</t>
        </is>
      </c>
      <c r="D32" s="20" t="inlineStr">
        <is>
          <t>239 241</t>
        </is>
      </c>
      <c r="E32" s="20" t="inlineStr">
        <is>
          <t>PORTO</t>
        </is>
      </c>
    </row>
    <row r="33">
      <c r="A33" s="20" t="inlineStr">
        <is>
          <t>Geovanna - Grupo Evandro</t>
        </is>
      </c>
      <c r="B33" s="25" t="inlineStr">
        <is>
          <t>+5511963148096</t>
        </is>
      </c>
      <c r="C33" s="20" t="inlineStr">
        <is>
          <t>Cadastrado</t>
        </is>
      </c>
      <c r="D33" s="20" t="inlineStr">
        <is>
          <t>238 240 244 247 249 250 251 252 253</t>
        </is>
      </c>
      <c r="E33" s="20" t="inlineStr">
        <is>
          <t>EVANDRO</t>
        </is>
      </c>
    </row>
    <row r="34">
      <c r="A34" s="20" t="inlineStr">
        <is>
          <t>Gisele - CARGO BOOKING</t>
        </is>
      </c>
      <c r="B34" s="25" t="inlineStr">
        <is>
          <t>+5511956101236</t>
        </is>
      </c>
      <c r="C34" s="20" t="inlineStr">
        <is>
          <t>Cadastrado</t>
        </is>
      </c>
      <c r="D34" s="20" t="n">
        <v>334</v>
      </c>
      <c r="E34" s="20" t="inlineStr">
        <is>
          <t>CARGO</t>
        </is>
      </c>
    </row>
    <row r="35">
      <c r="A35" s="20" t="inlineStr">
        <is>
          <t>Gisele (Ecologica)</t>
        </is>
      </c>
      <c r="B35" s="25" t="inlineStr">
        <is>
          <t>+5516992161426</t>
        </is>
      </c>
      <c r="C35" s="20" t="inlineStr">
        <is>
          <t>Cadastrado</t>
        </is>
      </c>
      <c r="D35" s="20" t="n">
        <v>82</v>
      </c>
      <c r="E35" s="20" t="inlineStr">
        <is>
          <t>CICLOMADE</t>
        </is>
      </c>
    </row>
    <row r="36">
      <c r="A36" s="20" t="inlineStr">
        <is>
          <t>Gislaine - Financeiro (GRUPO BENVENUTI)</t>
        </is>
      </c>
      <c r="B36" s="25" t="inlineStr">
        <is>
          <t>+5545988041579</t>
        </is>
      </c>
      <c r="C36" s="20" t="inlineStr">
        <is>
          <t>Cadastrado</t>
        </is>
      </c>
      <c r="D36" s="20" t="inlineStr">
        <is>
          <t>243 256</t>
        </is>
      </c>
      <c r="E36" s="20" t="inlineStr">
        <is>
          <t>BENVENUTI</t>
        </is>
      </c>
    </row>
    <row r="37">
      <c r="A37" s="20" t="inlineStr">
        <is>
          <t>Gustavo (Estilo Corretora)</t>
        </is>
      </c>
      <c r="B37" s="25" t="inlineStr">
        <is>
          <t>+5511938015378</t>
        </is>
      </c>
      <c r="C37" s="20" t="inlineStr">
        <is>
          <t>Cadastrado</t>
        </is>
      </c>
      <c r="D37" s="20" t="inlineStr">
        <is>
          <t>229 230</t>
        </is>
      </c>
      <c r="E37" s="20" t="inlineStr">
        <is>
          <t>ESTILO</t>
        </is>
      </c>
    </row>
    <row r="38">
      <c r="A38" s="20" t="inlineStr">
        <is>
          <t>Helder (Infinite Móveis)</t>
        </is>
      </c>
      <c r="B38" s="25" t="inlineStr">
        <is>
          <t>+5511932706052</t>
        </is>
      </c>
      <c r="C38" s="20" t="inlineStr">
        <is>
          <t>Cadastrado</t>
        </is>
      </c>
      <c r="D38" s="20" t="n">
        <v>289</v>
      </c>
      <c r="E38" s="20" t="inlineStr">
        <is>
          <t>INFINITE MOVEIS</t>
        </is>
      </c>
    </row>
    <row r="39">
      <c r="A39" s="20" t="inlineStr">
        <is>
          <t>Ismã (Grupo GNC)</t>
        </is>
      </c>
      <c r="B39" s="25" t="inlineStr">
        <is>
          <t>+5511998555548</t>
        </is>
      </c>
      <c r="C39" s="20" t="inlineStr">
        <is>
          <t>Cadastrado</t>
        </is>
      </c>
      <c r="D39" s="20" t="n">
        <v>113</v>
      </c>
      <c r="E39" s="20" t="inlineStr">
        <is>
          <t>CENTERSYSTEM</t>
        </is>
      </c>
    </row>
    <row r="40">
      <c r="A40" s="20" t="inlineStr">
        <is>
          <t xml:space="preserve">Ivane Porto </t>
        </is>
      </c>
      <c r="B40" s="25" t="inlineStr">
        <is>
          <t>+5577999578645</t>
        </is>
      </c>
      <c r="C40" s="20" t="inlineStr">
        <is>
          <t>Cadastrado</t>
        </is>
      </c>
      <c r="D40" s="20" t="inlineStr">
        <is>
          <t>239 241</t>
        </is>
      </c>
      <c r="E40" s="20" t="inlineStr">
        <is>
          <t>PORTO</t>
        </is>
      </c>
    </row>
    <row r="41">
      <c r="A41" s="20" t="inlineStr">
        <is>
          <t>Jean (Ciclomade)</t>
        </is>
      </c>
      <c r="B41" s="25" t="inlineStr">
        <is>
          <t>+5516997174748</t>
        </is>
      </c>
      <c r="C41" s="20" t="inlineStr">
        <is>
          <t>Cadastrado</t>
        </is>
      </c>
      <c r="D41" s="20" t="n">
        <v>81</v>
      </c>
      <c r="E41" s="20" t="inlineStr">
        <is>
          <t>CICLOMADE</t>
        </is>
      </c>
    </row>
    <row r="42">
      <c r="A42" s="20" t="inlineStr">
        <is>
          <t>João Like</t>
        </is>
      </c>
      <c r="B42" s="25" t="inlineStr">
        <is>
          <t>+5511953055516</t>
        </is>
      </c>
      <c r="C42" s="20" t="inlineStr">
        <is>
          <t>Cadastrado</t>
        </is>
      </c>
      <c r="D42" s="20" t="n">
        <v>43</v>
      </c>
      <c r="E42" s="20" t="inlineStr">
        <is>
          <t>AF</t>
        </is>
      </c>
    </row>
    <row r="43">
      <c r="A43" s="20" t="inlineStr">
        <is>
          <t>Jorge (Grupo Techposto)</t>
        </is>
      </c>
      <c r="B43" s="25" t="inlineStr">
        <is>
          <t>+5511986781634</t>
        </is>
      </c>
      <c r="C43" s="20" t="inlineStr">
        <is>
          <t>Cadastrado</t>
        </is>
      </c>
      <c r="D43" s="20" t="inlineStr">
        <is>
          <t>161 162 163</t>
        </is>
      </c>
      <c r="E43" s="20" t="inlineStr">
        <is>
          <t>TECHPOSTO</t>
        </is>
      </c>
    </row>
    <row r="44" ht="15" customHeight="1" s="17">
      <c r="A44" s="20" t="inlineStr">
        <is>
          <t>Josi - Xale Grill</t>
        </is>
      </c>
      <c r="B44" s="25" t="inlineStr">
        <is>
          <t>+5524992709538</t>
        </is>
      </c>
      <c r="C44" s="20" t="inlineStr">
        <is>
          <t>Cadastrado</t>
        </is>
      </c>
      <c r="D44" s="20" t="n">
        <v>267</v>
      </c>
      <c r="E44" s="20" t="inlineStr">
        <is>
          <t>XALE GRILL</t>
        </is>
      </c>
    </row>
    <row r="45" ht="15" customHeight="1" s="17">
      <c r="A45" s="20" t="inlineStr">
        <is>
          <t>Julya Drakos</t>
        </is>
      </c>
      <c r="B45" s="25" t="inlineStr">
        <is>
          <t>+5511914783298</t>
        </is>
      </c>
      <c r="C45" s="20" t="inlineStr">
        <is>
          <t>Cadastrado</t>
        </is>
      </c>
      <c r="D45" s="20" t="n">
        <v>169</v>
      </c>
      <c r="E45" s="20" t="inlineStr">
        <is>
          <t>VAII</t>
        </is>
      </c>
    </row>
    <row r="46">
      <c r="A46" s="20" t="inlineStr">
        <is>
          <t>Kathelen (Grupo OF - Fiscal)</t>
        </is>
      </c>
      <c r="B46" s="25" t="inlineStr">
        <is>
          <t>+5511961408354</t>
        </is>
      </c>
      <c r="C46" s="20" t="inlineStr">
        <is>
          <t>Cadastrado</t>
        </is>
      </c>
      <c r="D46" s="20" t="inlineStr">
        <is>
          <t>7 8 9 11 12 13 14 15 16 18 66</t>
        </is>
      </c>
      <c r="E46" s="20" t="inlineStr">
        <is>
          <t>OFICIAL FARMA</t>
        </is>
      </c>
    </row>
    <row r="47">
      <c r="A47" s="20" t="inlineStr">
        <is>
          <t>Leandro (LSA Serviços)</t>
        </is>
      </c>
      <c r="B47" s="25" t="inlineStr">
        <is>
          <t>+5511996555406</t>
        </is>
      </c>
      <c r="C47" s="20" t="inlineStr">
        <is>
          <t>Cadastrado</t>
        </is>
      </c>
      <c r="D47" s="20" t="n">
        <v>257</v>
      </c>
      <c r="E47" s="20" t="inlineStr">
        <is>
          <t>LSA</t>
        </is>
      </c>
    </row>
    <row r="48">
      <c r="A48" s="20" t="inlineStr">
        <is>
          <t>Leandro ESTRATEGIA</t>
        </is>
      </c>
      <c r="B48" s="25" t="inlineStr">
        <is>
          <t>+5511965142901</t>
        </is>
      </c>
      <c r="C48" s="20" t="inlineStr">
        <is>
          <t>Cadastrado</t>
        </is>
      </c>
      <c r="D48" s="20" t="n">
        <v>167</v>
      </c>
      <c r="E48" s="20" t="inlineStr">
        <is>
          <t>ESTRATÉGIA</t>
        </is>
      </c>
    </row>
    <row r="49">
      <c r="A49" s="20" t="inlineStr">
        <is>
          <t>Letícia - ELTEX'S</t>
        </is>
      </c>
      <c r="B49" s="25" t="inlineStr">
        <is>
          <t>+5513981074543</t>
        </is>
      </c>
      <c r="C49" s="20" t="inlineStr">
        <is>
          <t>Cadastrado</t>
        </is>
      </c>
      <c r="D49" s="20" t="inlineStr">
        <is>
          <t>332 337</t>
        </is>
      </c>
      <c r="E49" s="20" t="inlineStr">
        <is>
          <t>ELTEX'S</t>
        </is>
      </c>
    </row>
    <row r="50">
      <c r="A50" s="20" t="inlineStr">
        <is>
          <t>LILATUR Viagens Exclusivas</t>
        </is>
      </c>
      <c r="B50" s="25" t="inlineStr">
        <is>
          <t>+5511998261422</t>
        </is>
      </c>
      <c r="C50" s="20" t="inlineStr">
        <is>
          <t>Cadastrado</t>
        </is>
      </c>
      <c r="D50" s="20" t="inlineStr">
        <is>
          <t>301 302 313 314 315 316 317 318 331 352</t>
        </is>
      </c>
      <c r="E50" s="20" t="inlineStr">
        <is>
          <t>ASTRO</t>
        </is>
      </c>
      <c r="F50" s="22" t="inlineStr">
        <is>
          <t>Cadastrado em 302 352 | Não cadastrado em 301 312 313 314 315 316 317 318 331</t>
        </is>
      </c>
    </row>
    <row r="51">
      <c r="A51" s="20" t="inlineStr">
        <is>
          <t>Luan (ASOS Telhas)</t>
        </is>
      </c>
      <c r="B51" s="25" t="inlineStr">
        <is>
          <t>+5519991758956</t>
        </is>
      </c>
      <c r="C51" s="20" t="inlineStr">
        <is>
          <t>Cadastrado</t>
        </is>
      </c>
      <c r="D51" s="20" t="n">
        <v>219</v>
      </c>
      <c r="E51" s="20" t="inlineStr">
        <is>
          <t>A.S.O.S TELHAS</t>
        </is>
      </c>
    </row>
    <row r="52">
      <c r="A52" s="20" t="inlineStr">
        <is>
          <t>Luci - Petro Sapper</t>
        </is>
      </c>
      <c r="B52" s="25" t="inlineStr">
        <is>
          <t>+5511947857247</t>
        </is>
      </c>
      <c r="C52" s="20" t="inlineStr">
        <is>
          <t>Cadastrado</t>
        </is>
      </c>
      <c r="D52" s="20" t="n">
        <v>19</v>
      </c>
      <c r="E52" s="20" t="inlineStr">
        <is>
          <t>PETRO</t>
        </is>
      </c>
    </row>
    <row r="53">
      <c r="A53" s="20" t="inlineStr">
        <is>
          <t>Luis (Frutas Pain)</t>
        </is>
      </c>
      <c r="B53" s="25" t="inlineStr">
        <is>
          <t>+5511989990996</t>
        </is>
      </c>
      <c r="C53" s="20" t="inlineStr">
        <is>
          <t>Cadastrado</t>
        </is>
      </c>
      <c r="D53" s="20" t="inlineStr">
        <is>
          <t>126 127</t>
        </is>
      </c>
      <c r="E53" s="20" t="inlineStr">
        <is>
          <t>PAIN</t>
        </is>
      </c>
    </row>
    <row r="54">
      <c r="A54" s="20" t="inlineStr">
        <is>
          <t>Maittê - WC Máquinas</t>
        </is>
      </c>
      <c r="B54" s="25" t="inlineStr">
        <is>
          <t>+5516997677788</t>
        </is>
      </c>
      <c r="C54" s="20" t="inlineStr">
        <is>
          <t>Cadastrado</t>
        </is>
      </c>
      <c r="D54" s="20" t="inlineStr">
        <is>
          <t>356 359</t>
        </is>
      </c>
      <c r="E54" s="20" t="inlineStr">
        <is>
          <t>WC MAQUINAS</t>
        </is>
      </c>
    </row>
    <row r="55">
      <c r="A55" s="20" t="inlineStr">
        <is>
          <t>Mari (Grupo GNC)</t>
        </is>
      </c>
      <c r="B55" s="25" t="inlineStr">
        <is>
          <t>+5511995805545</t>
        </is>
      </c>
      <c r="C55" s="20" t="inlineStr">
        <is>
          <t>Cadastrado</t>
        </is>
      </c>
      <c r="D55" s="20" t="n">
        <v>113</v>
      </c>
      <c r="E55" s="20" t="inlineStr">
        <is>
          <t>CENTERSYSTEM</t>
        </is>
      </c>
    </row>
    <row r="56">
      <c r="A56" s="20" t="inlineStr">
        <is>
          <t>Maria das neves</t>
        </is>
      </c>
      <c r="B56" s="25" t="inlineStr">
        <is>
          <t>+5511981618852</t>
        </is>
      </c>
      <c r="C56" s="20" t="inlineStr">
        <is>
          <t>Cadastrado</t>
        </is>
      </c>
      <c r="D56" s="20" t="n">
        <v>40</v>
      </c>
      <c r="E56" s="20" t="inlineStr">
        <is>
          <t>MARIA</t>
        </is>
      </c>
    </row>
    <row r="57">
      <c r="A57" s="20" t="inlineStr">
        <is>
          <t>Mariana - Mentes Milionarias</t>
        </is>
      </c>
      <c r="B57" s="25" t="inlineStr">
        <is>
          <t>+5535988719245</t>
        </is>
      </c>
      <c r="C57" s="20" t="inlineStr">
        <is>
          <t>Cadastrado</t>
        </is>
      </c>
      <c r="D57" s="20" t="inlineStr">
        <is>
          <t>238 240 244 247 249 250 251 252 253</t>
        </is>
      </c>
      <c r="E57" s="20" t="inlineStr">
        <is>
          <t>EVANDRO</t>
        </is>
      </c>
      <c r="F57" s="22" t="inlineStr">
        <is>
          <t>Cadastrado apenas no ID 238</t>
        </is>
      </c>
    </row>
    <row r="58">
      <c r="A58" s="20" t="inlineStr">
        <is>
          <t>Marina - IBRASCAN</t>
        </is>
      </c>
      <c r="B58" s="25" t="inlineStr">
        <is>
          <t>+5547991607972</t>
        </is>
      </c>
      <c r="C58" s="20" t="inlineStr">
        <is>
          <t>Cadastrado</t>
        </is>
      </c>
      <c r="D58" s="20" t="inlineStr">
        <is>
          <t>112 122</t>
        </is>
      </c>
      <c r="E58" s="20" t="inlineStr">
        <is>
          <t>CENTERSYSTEM</t>
        </is>
      </c>
    </row>
    <row r="59">
      <c r="A59" s="20" t="inlineStr">
        <is>
          <t>Matheus MY BAKER</t>
        </is>
      </c>
      <c r="B59" s="25" t="inlineStr">
        <is>
          <t>+5511966936978</t>
        </is>
      </c>
      <c r="C59" s="20" t="inlineStr">
        <is>
          <t>Cadastrado</t>
        </is>
      </c>
      <c r="D59" s="20" t="inlineStr">
        <is>
          <t>205 206 209 210 361</t>
        </is>
      </c>
      <c r="E59" s="20" t="inlineStr">
        <is>
          <t>MY BAKER</t>
        </is>
      </c>
      <c r="F59" s="22" t="inlineStr">
        <is>
          <t>Nenhum contato cadastrado na 361 | Cadastrado em 205 206 209 210</t>
        </is>
      </c>
    </row>
    <row r="60">
      <c r="A60" s="20" t="inlineStr">
        <is>
          <t>Morgana (Central do MDF)</t>
        </is>
      </c>
      <c r="B60" s="25" t="inlineStr">
        <is>
          <t>+5519997558518</t>
        </is>
      </c>
      <c r="C60" s="20" t="inlineStr">
        <is>
          <t>Cadastrado</t>
        </is>
      </c>
      <c r="D60" s="20" t="n">
        <v>285</v>
      </c>
      <c r="E60" s="20" t="inlineStr">
        <is>
          <t>SORVFOODS</t>
        </is>
      </c>
    </row>
    <row r="61">
      <c r="A61" s="20" t="inlineStr">
        <is>
          <t>Osvaldo - Miroxis/Mirodi</t>
        </is>
      </c>
      <c r="B61" s="25" t="inlineStr">
        <is>
          <t>+5511981455660</t>
        </is>
      </c>
      <c r="C61" s="20" t="inlineStr">
        <is>
          <t>Cadastrado</t>
        </is>
      </c>
      <c r="D61" s="20" t="inlineStr">
        <is>
          <t>100 101</t>
        </is>
      </c>
      <c r="E61" s="20" t="inlineStr">
        <is>
          <t>MIROX</t>
        </is>
      </c>
    </row>
    <row r="62">
      <c r="A62" s="20" t="inlineStr">
        <is>
          <t>Osvaldo Onofruti</t>
        </is>
      </c>
      <c r="B62" s="25" t="inlineStr">
        <is>
          <t>+5511958490035</t>
        </is>
      </c>
      <c r="C62" s="20" t="inlineStr">
        <is>
          <t>Cadastrado</t>
        </is>
      </c>
      <c r="D62" s="20" t="inlineStr">
        <is>
          <t>245 300</t>
        </is>
      </c>
      <c r="E62" s="20" t="inlineStr">
        <is>
          <t>ONOFRUTI</t>
        </is>
      </c>
    </row>
    <row r="63">
      <c r="A63" s="20" t="inlineStr">
        <is>
          <t>Patricia - AVANTE CONSULTING</t>
        </is>
      </c>
      <c r="B63" s="25" t="inlineStr">
        <is>
          <t>+5511964310766</t>
        </is>
      </c>
      <c r="C63" s="20" t="inlineStr">
        <is>
          <t>Cadastrado</t>
        </is>
      </c>
      <c r="D63" s="20" t="n">
        <v>368</v>
      </c>
      <c r="E63" s="20" t="inlineStr">
        <is>
          <t>AVANTE</t>
        </is>
      </c>
    </row>
    <row r="64">
      <c r="A64" s="20" t="inlineStr">
        <is>
          <t>Patricia - Oasis Bedore</t>
        </is>
      </c>
      <c r="B64" s="25" t="inlineStr">
        <is>
          <t>+5516997519215</t>
        </is>
      </c>
      <c r="C64" s="20" t="inlineStr">
        <is>
          <t>Cadastrado</t>
        </is>
      </c>
      <c r="D64" s="20" t="n">
        <v>303</v>
      </c>
      <c r="E64" s="20" t="inlineStr">
        <is>
          <t>OASIS</t>
        </is>
      </c>
    </row>
    <row r="65">
      <c r="A65" s="20" t="inlineStr">
        <is>
          <t>Paula Cezar</t>
        </is>
      </c>
      <c r="B65" s="25" t="inlineStr">
        <is>
          <t>+5562984162471</t>
        </is>
      </c>
      <c r="C65" s="20" t="inlineStr">
        <is>
          <t>Cadastrado</t>
        </is>
      </c>
      <c r="D65" s="20" t="n">
        <v>294</v>
      </c>
      <c r="E65" s="20" t="inlineStr">
        <is>
          <t>REALIZA</t>
        </is>
      </c>
    </row>
    <row r="66">
      <c r="A66" s="20" t="inlineStr">
        <is>
          <t>Paulo Cezar</t>
        </is>
      </c>
      <c r="B66" s="25" t="inlineStr">
        <is>
          <t>+5562984162471</t>
        </is>
      </c>
      <c r="C66" s="20" t="inlineStr">
        <is>
          <t>Cadastrado</t>
        </is>
      </c>
      <c r="D66" s="20" t="n">
        <v>294</v>
      </c>
      <c r="E66" s="20" t="inlineStr">
        <is>
          <t>REALIZA</t>
        </is>
      </c>
    </row>
    <row r="67">
      <c r="A67" s="20" t="inlineStr">
        <is>
          <t>Paulo S. Magalhães (Grupo Casa de Gesso)</t>
        </is>
      </c>
      <c r="B67" s="25" t="inlineStr">
        <is>
          <t>+5511973741352</t>
        </is>
      </c>
      <c r="C67" s="20" t="inlineStr">
        <is>
          <t>Cadastrado</t>
        </is>
      </c>
      <c r="D67" s="20" t="inlineStr">
        <is>
          <t>151 152 261 262</t>
        </is>
      </c>
      <c r="E67" s="20" t="inlineStr">
        <is>
          <t>CASA DE GESSO</t>
        </is>
      </c>
    </row>
    <row r="68">
      <c r="A68" s="20" t="inlineStr">
        <is>
          <t>Poliana GAOSEG</t>
        </is>
      </c>
      <c r="B68" s="25" t="inlineStr">
        <is>
          <t>+5511949123057</t>
        </is>
      </c>
      <c r="C68" s="20" t="inlineStr">
        <is>
          <t>Cadastrado</t>
        </is>
      </c>
      <c r="D68" s="20" t="inlineStr">
        <is>
          <t>319 320 322</t>
        </is>
      </c>
      <c r="E68" s="20" t="inlineStr">
        <is>
          <t>GAOSEG</t>
        </is>
      </c>
    </row>
    <row r="69">
      <c r="A69" s="20" t="inlineStr">
        <is>
          <t>Rafael (SafetyMed)</t>
        </is>
      </c>
      <c r="B69" s="25" t="inlineStr">
        <is>
          <t>+5521996777894</t>
        </is>
      </c>
      <c r="C69" s="20" t="inlineStr">
        <is>
          <t>Cadastrado</t>
        </is>
      </c>
      <c r="D69" s="20" t="inlineStr">
        <is>
          <t>223 224 225</t>
        </is>
      </c>
      <c r="E69" s="20" t="inlineStr">
        <is>
          <t>SAFETYMED</t>
        </is>
      </c>
    </row>
    <row r="70">
      <c r="A70" s="20" t="inlineStr">
        <is>
          <t>Raphael DSA (Grupo)</t>
        </is>
      </c>
      <c r="B70" s="25" t="inlineStr">
        <is>
          <t>+5511989094801</t>
        </is>
      </c>
      <c r="C70" s="20" t="inlineStr">
        <is>
          <t>Cadastrado</t>
        </is>
      </c>
      <c r="D70" s="20" t="inlineStr">
        <is>
          <t>20 45</t>
        </is>
      </c>
      <c r="E70" s="20" t="inlineStr">
        <is>
          <t>DAS</t>
        </is>
      </c>
    </row>
    <row r="71">
      <c r="A71" s="20" t="inlineStr">
        <is>
          <t>Raquel Estilo Corretora</t>
        </is>
      </c>
      <c r="B71" s="25" t="inlineStr">
        <is>
          <t>+5511959466711</t>
        </is>
      </c>
      <c r="C71" s="20" t="inlineStr">
        <is>
          <t>Cadastrado</t>
        </is>
      </c>
      <c r="D71" s="20" t="inlineStr">
        <is>
          <t>229 230</t>
        </is>
      </c>
      <c r="E71" s="20" t="inlineStr">
        <is>
          <t>ESTILO</t>
        </is>
      </c>
    </row>
    <row r="72">
      <c r="A72" s="20" t="inlineStr">
        <is>
          <t>Rejane - Miroxis e Mirodi</t>
        </is>
      </c>
      <c r="B72" s="25" t="inlineStr">
        <is>
          <t>+5511986899083</t>
        </is>
      </c>
      <c r="C72" s="20" t="inlineStr">
        <is>
          <t>Cadastrado</t>
        </is>
      </c>
      <c r="D72" s="20" t="inlineStr">
        <is>
          <t>100 101</t>
        </is>
      </c>
      <c r="E72" s="20" t="inlineStr">
        <is>
          <t>MIROX</t>
        </is>
      </c>
    </row>
    <row r="73">
      <c r="A73" s="20" t="inlineStr">
        <is>
          <t xml:space="preserve">Renata - Safetymed </t>
        </is>
      </c>
      <c r="B73" s="25" t="inlineStr">
        <is>
          <t>+5521997815354</t>
        </is>
      </c>
      <c r="C73" s="20" t="inlineStr">
        <is>
          <t>Cadastrado</t>
        </is>
      </c>
      <c r="D73" s="20" t="inlineStr">
        <is>
          <t>223 224 225</t>
        </is>
      </c>
      <c r="E73" s="20" t="inlineStr">
        <is>
          <t>SAFETYMED</t>
        </is>
      </c>
    </row>
    <row r="74">
      <c r="A74" s="20" t="inlineStr">
        <is>
          <t>Renata - STILUS</t>
        </is>
      </c>
      <c r="B74" s="25" t="inlineStr">
        <is>
          <t>+5516992274051</t>
        </is>
      </c>
      <c r="C74" s="20" t="inlineStr">
        <is>
          <t>Cadastrado</t>
        </is>
      </c>
      <c r="D74" s="20" t="n">
        <v>168</v>
      </c>
      <c r="E74" s="20" t="inlineStr">
        <is>
          <t>STILUS</t>
        </is>
      </c>
    </row>
    <row r="75">
      <c r="A75" s="20" t="inlineStr">
        <is>
          <t>RENATO ALVES</t>
        </is>
      </c>
      <c r="B75" s="25" t="inlineStr">
        <is>
          <t>+5511952331758</t>
        </is>
      </c>
      <c r="C75" s="20" t="inlineStr">
        <is>
          <t>Cadastrado</t>
        </is>
      </c>
      <c r="D75" s="20" t="n">
        <v>140</v>
      </c>
      <c r="E75" s="20" t="inlineStr">
        <is>
          <t>RENATO</t>
        </is>
      </c>
    </row>
    <row r="76">
      <c r="A76" s="20" t="inlineStr">
        <is>
          <t>RH.TAMBRASIL</t>
        </is>
      </c>
      <c r="B76" s="25" t="inlineStr">
        <is>
          <t>+5511988583180</t>
        </is>
      </c>
      <c r="C76" s="20" t="inlineStr">
        <is>
          <t>Cadastrado</t>
        </is>
      </c>
      <c r="D76" s="20" t="inlineStr">
        <is>
          <t>228 232</t>
        </is>
      </c>
      <c r="E76" s="20" t="inlineStr">
        <is>
          <t>IBRASIL</t>
        </is>
      </c>
      <c r="F76" s="22" t="inlineStr">
        <is>
          <t>(Erica da Tamany e Ibrasil)</t>
        </is>
      </c>
    </row>
    <row r="77">
      <c r="A77" s="20" t="inlineStr">
        <is>
          <t>Ricardo (Astro 34)</t>
        </is>
      </c>
      <c r="B77" s="25" t="inlineStr">
        <is>
          <t>+5511955933176</t>
        </is>
      </c>
      <c r="C77" s="20" t="inlineStr">
        <is>
          <t>Cadastrado</t>
        </is>
      </c>
      <c r="D77" s="20" t="inlineStr">
        <is>
          <t>301 302 312 313 314 315 316 317 318 331 352</t>
        </is>
      </c>
      <c r="E77" s="20" t="inlineStr">
        <is>
          <t>ASTRO</t>
        </is>
      </c>
      <c r="F77" s="22" t="inlineStr">
        <is>
          <t>Cadastrado em 301 302 312 313 314 315 316 317 318 | Não cadastrado em 331 e 352</t>
        </is>
      </c>
    </row>
    <row r="78">
      <c r="A78" s="20" t="inlineStr">
        <is>
          <t>Rodrigo CONEXÃO VIAGEM</t>
        </is>
      </c>
      <c r="B78" s="25" t="inlineStr">
        <is>
          <t>+5511951001507</t>
        </is>
      </c>
      <c r="C78" s="20" t="inlineStr">
        <is>
          <t>Cadastrado</t>
        </is>
      </c>
      <c r="D78" s="20" t="n">
        <v>104</v>
      </c>
      <c r="E78" s="20" t="inlineStr">
        <is>
          <t>CONEXÃO</t>
        </is>
      </c>
    </row>
    <row r="79">
      <c r="A79" s="20" t="inlineStr">
        <is>
          <t>Rogerio - ASOS TELHAS</t>
        </is>
      </c>
      <c r="B79" s="25" t="inlineStr">
        <is>
          <t>+5519983667538</t>
        </is>
      </c>
      <c r="C79" s="20" t="inlineStr">
        <is>
          <t>Cadastrado</t>
        </is>
      </c>
      <c r="D79" s="20" t="n">
        <v>219</v>
      </c>
      <c r="E79" s="20" t="inlineStr">
        <is>
          <t>A.S.O.S TELHAS</t>
        </is>
      </c>
    </row>
    <row r="80">
      <c r="A80" s="20" t="inlineStr">
        <is>
          <t>Rogerio (Rosela Fernandes)</t>
        </is>
      </c>
      <c r="B80" s="25" t="inlineStr">
        <is>
          <t>+5513974103018</t>
        </is>
      </c>
      <c r="C80" s="20" t="inlineStr">
        <is>
          <t>Cadastrado</t>
        </is>
      </c>
      <c r="D80" s="20" t="n">
        <v>237</v>
      </c>
      <c r="E80" s="20" t="inlineStr">
        <is>
          <t>ROSELA</t>
        </is>
      </c>
    </row>
    <row r="81">
      <c r="A81" s="20" t="inlineStr">
        <is>
          <t>Roni (Corelmaq)</t>
        </is>
      </c>
      <c r="B81" s="25" t="inlineStr">
        <is>
          <t>+5516993266161</t>
        </is>
      </c>
      <c r="C81" s="20" t="inlineStr">
        <is>
          <t>Cadastrado</t>
        </is>
      </c>
      <c r="D81" s="20" t="n">
        <v>214</v>
      </c>
      <c r="E81" s="20" t="inlineStr">
        <is>
          <t>CORELMAQ</t>
        </is>
      </c>
    </row>
    <row r="82">
      <c r="A82" s="20" t="inlineStr">
        <is>
          <t>RUBENS (RESTORE)</t>
        </is>
      </c>
      <c r="B82" s="25" t="inlineStr">
        <is>
          <t>+5511983828770</t>
        </is>
      </c>
      <c r="C82" s="20" t="inlineStr">
        <is>
          <t>Cadastrado</t>
        </is>
      </c>
      <c r="D82" s="20" t="inlineStr">
        <is>
          <t>132 133 150 158</t>
        </is>
      </c>
      <c r="E82" s="20" t="inlineStr">
        <is>
          <t>RESTORE</t>
        </is>
      </c>
    </row>
    <row r="83">
      <c r="A83" s="20" t="inlineStr">
        <is>
          <t>Sandra Gaoseg</t>
        </is>
      </c>
      <c r="B83" s="25" t="inlineStr">
        <is>
          <t>+5511987721638</t>
        </is>
      </c>
      <c r="C83" s="20" t="inlineStr">
        <is>
          <t>Cadastrado</t>
        </is>
      </c>
      <c r="D83" s="20" t="inlineStr">
        <is>
          <t>319 320 322</t>
        </is>
      </c>
      <c r="E83" s="20" t="inlineStr">
        <is>
          <t>GAOSEG</t>
        </is>
      </c>
    </row>
    <row r="84">
      <c r="A84" s="20" t="inlineStr">
        <is>
          <t>Soraya Saab</t>
        </is>
      </c>
      <c r="B84" s="25" t="inlineStr">
        <is>
          <t>+5512997482777</t>
        </is>
      </c>
      <c r="C84" s="20" t="inlineStr">
        <is>
          <t>Cadastrado</t>
        </is>
      </c>
      <c r="D84" s="20" t="n">
        <v>17</v>
      </c>
      <c r="E84" s="20" t="inlineStr">
        <is>
          <t>LIBERTANGO</t>
        </is>
      </c>
    </row>
    <row r="85">
      <c r="A85" s="20" t="inlineStr">
        <is>
          <t>Suellen (Valens)</t>
        </is>
      </c>
      <c r="B85" s="25" t="inlineStr">
        <is>
          <t>+5551995555166</t>
        </is>
      </c>
      <c r="C85" s="20" t="inlineStr">
        <is>
          <t>Cadastrado</t>
        </is>
      </c>
      <c r="D85" s="20" t="n">
        <v>274</v>
      </c>
      <c r="E85" s="20" t="inlineStr">
        <is>
          <t>VALENS</t>
        </is>
      </c>
    </row>
    <row r="86">
      <c r="A86" s="20" t="inlineStr">
        <is>
          <t>Tamany Ibrasil</t>
        </is>
      </c>
      <c r="B86" s="25" t="inlineStr">
        <is>
          <t>+5511996485330</t>
        </is>
      </c>
      <c r="C86" s="20" t="inlineStr">
        <is>
          <t>Cadastrado</t>
        </is>
      </c>
      <c r="D86" s="20" t="inlineStr">
        <is>
          <t>228 232</t>
        </is>
      </c>
      <c r="E86" s="20" t="inlineStr">
        <is>
          <t>IBRASIL</t>
        </is>
      </c>
    </row>
    <row r="87">
      <c r="A87" s="20" t="inlineStr">
        <is>
          <t>Tatiana - Grupo Evandro</t>
        </is>
      </c>
      <c r="B87" s="25" t="inlineStr">
        <is>
          <t>+5545988169540</t>
        </is>
      </c>
      <c r="C87" s="20" t="inlineStr">
        <is>
          <t>Cadastrado</t>
        </is>
      </c>
      <c r="D87" s="20" t="inlineStr">
        <is>
          <t>238 240 244 247 249 250 251 252 253</t>
        </is>
      </c>
      <c r="E87" s="20" t="inlineStr">
        <is>
          <t>EVANDRO</t>
        </is>
      </c>
      <c r="F87" s="22" t="inlineStr">
        <is>
          <t>Não cadastrado apenas no ID 238</t>
        </is>
      </c>
    </row>
    <row r="88">
      <c r="A88" s="20" t="inlineStr">
        <is>
          <t>Thalia - J S Benvenuti</t>
        </is>
      </c>
      <c r="B88" s="25" t="inlineStr">
        <is>
          <t>+554531253310</t>
        </is>
      </c>
      <c r="C88" s="20" t="inlineStr">
        <is>
          <t>Cadastrado</t>
        </is>
      </c>
      <c r="D88" s="20" t="n">
        <v>256</v>
      </c>
      <c r="E88" s="20" t="inlineStr">
        <is>
          <t>BENVENUTI</t>
        </is>
      </c>
    </row>
    <row r="89">
      <c r="A89" s="20" t="inlineStr">
        <is>
          <t>Tom (SGG)</t>
        </is>
      </c>
      <c r="B89" s="25" t="inlineStr">
        <is>
          <t>+5516992355693</t>
        </is>
      </c>
      <c r="C89" s="20" t="inlineStr">
        <is>
          <t>Cadastrado</t>
        </is>
      </c>
      <c r="D89" s="20" t="n">
        <v>49</v>
      </c>
      <c r="E89" s="20" t="inlineStr">
        <is>
          <t>SGG</t>
        </is>
      </c>
    </row>
    <row r="90">
      <c r="A90" s="20" t="inlineStr">
        <is>
          <t>Valéria (My Baker)</t>
        </is>
      </c>
      <c r="B90" s="25" t="inlineStr">
        <is>
          <t>+5511947854645</t>
        </is>
      </c>
      <c r="C90" s="20" t="inlineStr">
        <is>
          <t>Cadastrado</t>
        </is>
      </c>
      <c r="D90" s="20" t="inlineStr">
        <is>
          <t>205 206 209 210 361</t>
        </is>
      </c>
      <c r="E90" s="20" t="inlineStr">
        <is>
          <t>MY BAKER</t>
        </is>
      </c>
      <c r="F90" s="22" t="inlineStr">
        <is>
          <t>Nenhum contato cadastrado na 361 | Cadastrado em 205 206 209 210</t>
        </is>
      </c>
    </row>
    <row r="91">
      <c r="A91" s="20" t="inlineStr">
        <is>
          <t>Vanessa (Movare)</t>
        </is>
      </c>
      <c r="B91" s="25" t="inlineStr">
        <is>
          <t>+5518996051206</t>
        </is>
      </c>
      <c r="C91" s="20" t="inlineStr">
        <is>
          <t>Cadastrado</t>
        </is>
      </c>
      <c r="D91" s="20" t="inlineStr">
        <is>
          <t>207 208</t>
        </is>
      </c>
      <c r="E91" s="20" t="inlineStr">
        <is>
          <t>MOVARE</t>
        </is>
      </c>
    </row>
    <row r="92">
      <c r="A92" s="20" t="inlineStr">
        <is>
          <t>Victor - D N BENVENUTI</t>
        </is>
      </c>
      <c r="B92" s="25" t="inlineStr">
        <is>
          <t>+5545991020574</t>
        </is>
      </c>
      <c r="C92" s="20" t="inlineStr">
        <is>
          <t>Cadastrado</t>
        </is>
      </c>
      <c r="D92" s="20" t="inlineStr">
        <is>
          <t>243 256 369</t>
        </is>
      </c>
      <c r="E92" s="20" t="inlineStr">
        <is>
          <t>BENVENUTI</t>
        </is>
      </c>
      <c r="F92" s="22" t="inlineStr">
        <is>
          <t>Não cadastrado no ID 256</t>
        </is>
      </c>
    </row>
    <row r="93">
      <c r="A93" s="20" t="inlineStr">
        <is>
          <t>Vitoria Benedito💖</t>
        </is>
      </c>
      <c r="B93" s="25" t="inlineStr">
        <is>
          <t>+5511953816163</t>
        </is>
      </c>
      <c r="C93" s="20" t="inlineStr">
        <is>
          <t>Cadastrado</t>
        </is>
      </c>
      <c r="D93" s="20" t="inlineStr">
        <is>
          <t>319 320 322</t>
        </is>
      </c>
      <c r="E93" s="20" t="inlineStr">
        <is>
          <t>GAOSEG</t>
        </is>
      </c>
    </row>
    <row r="94">
      <c r="A94" s="20" t="inlineStr">
        <is>
          <t>VIVIANE - INFINITE IMOVEIS</t>
        </is>
      </c>
      <c r="B94" s="25" t="inlineStr">
        <is>
          <t>+5511989041605</t>
        </is>
      </c>
      <c r="C94" s="20" t="inlineStr">
        <is>
          <t>Cadastrado</t>
        </is>
      </c>
      <c r="D94" s="20" t="n">
        <v>289</v>
      </c>
      <c r="E94" s="20" t="inlineStr">
        <is>
          <t>INFINITE MOVEIS</t>
        </is>
      </c>
    </row>
    <row r="95">
      <c r="A95" s="20" t="inlineStr">
        <is>
          <t>Wesley - Onofruti</t>
        </is>
      </c>
      <c r="B95" s="25" t="inlineStr">
        <is>
          <t>+5511989152813</t>
        </is>
      </c>
      <c r="C95" s="20" t="inlineStr">
        <is>
          <t>Cadastrado</t>
        </is>
      </c>
      <c r="D95" s="20" t="inlineStr">
        <is>
          <t>245 300</t>
        </is>
      </c>
      <c r="E95" s="20" t="inlineStr">
        <is>
          <t>ONOFRUTI</t>
        </is>
      </c>
    </row>
    <row r="96">
      <c r="A96" s="20" t="inlineStr">
        <is>
          <t>Yuri Pain</t>
        </is>
      </c>
      <c r="B96" s="25" t="inlineStr">
        <is>
          <t>+5511968558485</t>
        </is>
      </c>
      <c r="C96" s="20" t="inlineStr">
        <is>
          <t>Cadastrado</t>
        </is>
      </c>
      <c r="D96" s="20" t="inlineStr">
        <is>
          <t>126 127</t>
        </is>
      </c>
      <c r="E96" s="20" t="inlineStr">
        <is>
          <t>PAIN</t>
        </is>
      </c>
    </row>
    <row r="97">
      <c r="A97" s="20" t="inlineStr">
        <is>
          <t xml:space="preserve">Pedro Sá </t>
        </is>
      </c>
      <c r="B97" s="25" t="inlineStr">
        <is>
          <t>+5512997357799</t>
        </is>
      </c>
      <c r="C97" s="20" t="inlineStr">
        <is>
          <t>Cliente não identificado</t>
        </is>
      </c>
      <c r="F97" s="22" t="inlineStr">
        <is>
          <t>Nenhuma mensagem nunca foi trocada com este contato</t>
        </is>
      </c>
    </row>
    <row r="98">
      <c r="A98" s="20" t="inlineStr">
        <is>
          <t>Ana (Business - Dona)</t>
        </is>
      </c>
      <c r="B98" s="25" t="inlineStr">
        <is>
          <t>+86 136 2579 6387</t>
        </is>
      </c>
      <c r="C98" s="20" t="inlineStr">
        <is>
          <t>Contato não cadastrado na empresa</t>
        </is>
      </c>
      <c r="D98" s="20" t="n">
        <v>109</v>
      </c>
      <c r="E98" s="20" t="inlineStr">
        <is>
          <t>BUSINESS</t>
        </is>
      </c>
    </row>
    <row r="99">
      <c r="A99" s="20" t="inlineStr">
        <is>
          <t>Ana Ingrid - SAFETYMED</t>
        </is>
      </c>
      <c r="B99" s="25" t="inlineStr">
        <is>
          <t>+55 81 98826-8552</t>
        </is>
      </c>
      <c r="C99" s="20" t="inlineStr">
        <is>
          <t>Contato não cadastrado na empresa</t>
        </is>
      </c>
      <c r="D99" s="20" t="inlineStr">
        <is>
          <t>223 224 225</t>
        </is>
      </c>
      <c r="E99" s="20" t="inlineStr">
        <is>
          <t>SAFETYMED</t>
        </is>
      </c>
    </row>
    <row r="100">
      <c r="A100" s="20" t="inlineStr">
        <is>
          <t>Andreia Simao</t>
        </is>
      </c>
      <c r="B100" s="25" t="inlineStr">
        <is>
          <t>+55 11 97496-9031</t>
        </is>
      </c>
      <c r="C100" s="20" t="inlineStr">
        <is>
          <t>Contato não cadastrado na empresa</t>
        </is>
      </c>
      <c r="D100" s="20" t="n">
        <v>19</v>
      </c>
      <c r="E100" s="20" t="inlineStr">
        <is>
          <t>PETRO</t>
        </is>
      </c>
    </row>
    <row r="101">
      <c r="A101" s="20" t="inlineStr">
        <is>
          <t>Apthus Cont. antiga do Grupo EVANDRO</t>
        </is>
      </c>
      <c r="B101" s="25" t="inlineStr">
        <is>
          <t>+55 45 99133-5888</t>
        </is>
      </c>
      <c r="C101" s="20" t="inlineStr">
        <is>
          <t>Contato não cadastrado na empresa</t>
        </is>
      </c>
      <c r="E101" s="20" t="inlineStr">
        <is>
          <t>EVANDRO</t>
        </is>
      </c>
    </row>
    <row r="102">
      <c r="A102" s="20" t="inlineStr">
        <is>
          <t>Atendimento Gruber Contabilidade</t>
        </is>
      </c>
      <c r="B102" s="25" t="inlineStr">
        <is>
          <t>+554530965252</t>
        </is>
      </c>
      <c r="C102" s="20" t="inlineStr">
        <is>
          <t>Contato não cadastrado na empresa</t>
        </is>
      </c>
      <c r="D102" s="20" t="inlineStr">
        <is>
          <t>243 256 369</t>
        </is>
      </c>
      <c r="E102" s="20" t="inlineStr">
        <is>
          <t>BENVENUTI</t>
        </is>
      </c>
      <c r="F102" s="22" t="inlineStr">
        <is>
          <t>Contato referente a grupo BENVENUTI, não ficou claro se representa o grupo</t>
        </is>
      </c>
    </row>
    <row r="103">
      <c r="A103" s="20" t="inlineStr">
        <is>
          <t>Beraldo (Contador Ant. Silver)</t>
        </is>
      </c>
      <c r="B103" s="25" t="inlineStr">
        <is>
          <t>+55 16 3209-1065</t>
        </is>
      </c>
      <c r="C103" s="20" t="inlineStr">
        <is>
          <t>Contato não cadastrado na empresa</t>
        </is>
      </c>
      <c r="D103" s="20" t="n">
        <v>149</v>
      </c>
      <c r="E103" s="20" t="inlineStr">
        <is>
          <t>SILVER</t>
        </is>
      </c>
    </row>
    <row r="104">
      <c r="A104" s="20" t="inlineStr">
        <is>
          <t xml:space="preserve">Beth - Contabilidade estilo Corretora
</t>
        </is>
      </c>
      <c r="B104" s="25" t="inlineStr">
        <is>
          <t>+55 11 98245-1152</t>
        </is>
      </c>
      <c r="C104" s="20" t="inlineStr">
        <is>
          <t>Contato não cadastrado na empresa</t>
        </is>
      </c>
      <c r="D104" s="20" t="inlineStr">
        <is>
          <t>229 230</t>
        </is>
      </c>
      <c r="E104" s="20" t="inlineStr">
        <is>
          <t>ESTILO</t>
        </is>
      </c>
    </row>
    <row r="105">
      <c r="A105" s="20" t="inlineStr">
        <is>
          <t>Camila Mariano (Gerente do Banco Embamac)</t>
        </is>
      </c>
      <c r="B105" s="25" t="inlineStr">
        <is>
          <t>+5514991788134</t>
        </is>
      </c>
      <c r="C105" s="20" t="inlineStr">
        <is>
          <t>Contato não cadastrado na empresa</t>
        </is>
      </c>
      <c r="D105" s="20" t="inlineStr">
        <is>
          <t>21 117 118</t>
        </is>
      </c>
      <c r="E105" s="20" t="inlineStr">
        <is>
          <t>EMBAMAC</t>
        </is>
      </c>
      <c r="F105" s="22" t="inlineStr">
        <is>
          <t>Contato referente a cliente EMBAMAC, não ficou claro se representa o grupo</t>
        </is>
      </c>
    </row>
    <row r="106">
      <c r="A106" s="20" t="inlineStr">
        <is>
          <t>Carollina (Benvenuti)</t>
        </is>
      </c>
      <c r="B106" s="25" t="inlineStr">
        <is>
          <t>+55 45 99133-3207</t>
        </is>
      </c>
      <c r="C106" s="20" t="inlineStr">
        <is>
          <t>Contato não cadastrado na empresa</t>
        </is>
      </c>
      <c r="D106" s="20" t="inlineStr">
        <is>
          <t>243 256</t>
        </is>
      </c>
      <c r="E106" s="20" t="inlineStr">
        <is>
          <t>BENVENUTI</t>
        </is>
      </c>
    </row>
    <row r="107">
      <c r="A107" s="20" t="inlineStr">
        <is>
          <t>Christi - Escola Realiza</t>
        </is>
      </c>
      <c r="B107" s="25" t="inlineStr">
        <is>
          <t>+55 62 99107-1811</t>
        </is>
      </c>
      <c r="C107" s="20" t="inlineStr">
        <is>
          <t>Contato não cadastrado na empresa</t>
        </is>
      </c>
      <c r="D107" s="20" t="n">
        <v>292</v>
      </c>
      <c r="E107" s="20" t="inlineStr">
        <is>
          <t>REALIZA</t>
        </is>
      </c>
    </row>
    <row r="108">
      <c r="A108" s="20" t="inlineStr">
        <is>
          <t>Christi Pessoal - Escola Realiza</t>
        </is>
      </c>
      <c r="B108" s="25" t="inlineStr">
        <is>
          <t>+55 62 99325-9763</t>
        </is>
      </c>
      <c r="C108" s="20" t="inlineStr">
        <is>
          <t>Contato não cadastrado na empresa</t>
        </is>
      </c>
      <c r="D108" s="20" t="n">
        <v>292</v>
      </c>
      <c r="E108" s="20" t="inlineStr">
        <is>
          <t>REALIZA</t>
        </is>
      </c>
    </row>
    <row r="109">
      <c r="A109" s="20" t="inlineStr">
        <is>
          <t>Cleiton 😴😴 Augecon</t>
        </is>
      </c>
      <c r="B109" s="25" t="inlineStr">
        <is>
          <t>5511942112261</t>
        </is>
      </c>
      <c r="C109" s="20" t="inlineStr">
        <is>
          <t>Contato não cadastrado na empresa</t>
        </is>
      </c>
      <c r="D109" s="20" t="inlineStr">
        <is>
          <t>151 252 261 262</t>
        </is>
      </c>
      <c r="E109" s="20" t="inlineStr">
        <is>
          <t>CASA DE GESSO</t>
        </is>
      </c>
    </row>
    <row r="110">
      <c r="A110" s="20" t="inlineStr">
        <is>
          <t>Cont Ant AP Natura (Davison)</t>
        </is>
      </c>
      <c r="B110" s="25" t="inlineStr">
        <is>
          <t>+5511913580963</t>
        </is>
      </c>
      <c r="C110" s="20" t="inlineStr">
        <is>
          <t>Contato não cadastrado na empresa</t>
        </is>
      </c>
      <c r="D110" s="20" t="n">
        <v>231</v>
      </c>
      <c r="E110" s="20" t="inlineStr">
        <is>
          <t>LOS CHEFES</t>
        </is>
      </c>
    </row>
    <row r="111">
      <c r="A111" s="20" t="inlineStr">
        <is>
          <t>Cont Anterior - BRACHI</t>
        </is>
      </c>
      <c r="B111" s="25" t="inlineStr">
        <is>
          <t>+5547997709663</t>
        </is>
      </c>
      <c r="C111" s="20" t="inlineStr">
        <is>
          <t>Contato não cadastrado na empresa</t>
        </is>
      </c>
      <c r="D111" s="20" t="inlineStr">
        <is>
          <t>335 341</t>
        </is>
      </c>
      <c r="E111" s="20" t="inlineStr">
        <is>
          <t>BRACHI</t>
        </is>
      </c>
    </row>
    <row r="112">
      <c r="A112" s="20" t="inlineStr">
        <is>
          <t>Cont. anterior Onofruti</t>
        </is>
      </c>
      <c r="B112" s="25" t="inlineStr">
        <is>
          <t>+5511976484394</t>
        </is>
      </c>
      <c r="C112" s="20" t="inlineStr">
        <is>
          <t>Contato não cadastrado na empresa</t>
        </is>
      </c>
      <c r="D112" s="20" t="n">
        <v>245</v>
      </c>
      <c r="E112" s="20" t="inlineStr">
        <is>
          <t>ONOFRUTI</t>
        </is>
      </c>
      <c r="F112" s="22" t="inlineStr">
        <is>
          <t>ID 245 identificado, nome do usuario não identificado</t>
        </is>
      </c>
    </row>
    <row r="113">
      <c r="A113" s="20" t="inlineStr">
        <is>
          <t>Contabilidade Gavlik Josi</t>
        </is>
      </c>
      <c r="B113" s="25" t="inlineStr">
        <is>
          <t>+5545998160883</t>
        </is>
      </c>
      <c r="C113" s="20" t="inlineStr">
        <is>
          <t>Contato não cadastrado na empresa</t>
        </is>
      </c>
      <c r="D113" s="20" t="n">
        <v>43</v>
      </c>
      <c r="E113" s="20" t="inlineStr">
        <is>
          <t>AF</t>
        </is>
      </c>
    </row>
    <row r="114">
      <c r="A114" s="20" t="inlineStr">
        <is>
          <t xml:space="preserve">Contador Ant Casa de Gesso </t>
        </is>
      </c>
      <c r="B114" s="25" t="inlineStr">
        <is>
          <t>+5511976886592</t>
        </is>
      </c>
      <c r="C114" s="20" t="inlineStr">
        <is>
          <t>Contato não cadastrado na empresa</t>
        </is>
      </c>
      <c r="D114" s="20" t="inlineStr">
        <is>
          <t>151 152 261 262</t>
        </is>
      </c>
      <c r="E114" s="20" t="inlineStr">
        <is>
          <t>CASA DE GESSO</t>
        </is>
      </c>
    </row>
    <row r="115">
      <c r="A115" s="20" t="inlineStr">
        <is>
          <t>Contador antigo Tamany</t>
        </is>
      </c>
      <c r="B115" s="25" t="inlineStr">
        <is>
          <t>+551147511375</t>
        </is>
      </c>
      <c r="C115" s="20" t="inlineStr">
        <is>
          <t>Contato não cadastrado na empresa</t>
        </is>
      </c>
      <c r="D115" s="20" t="inlineStr">
        <is>
          <t>228 232</t>
        </is>
      </c>
      <c r="E115" s="20" t="inlineStr">
        <is>
          <t>IBRASIL</t>
        </is>
      </c>
    </row>
    <row r="116">
      <c r="A116" s="20" t="inlineStr">
        <is>
          <t>Dany - AVANTE</t>
        </is>
      </c>
      <c r="B116" s="25" t="inlineStr">
        <is>
          <t>+5511983357258</t>
        </is>
      </c>
      <c r="C116" s="20" t="inlineStr">
        <is>
          <t>Contato não cadastrado na empresa</t>
        </is>
      </c>
      <c r="D116" s="20" t="n">
        <v>368</v>
      </c>
      <c r="E116" s="20" t="inlineStr">
        <is>
          <t>AVANTE</t>
        </is>
      </c>
    </row>
    <row r="117">
      <c r="A117" s="20" t="inlineStr">
        <is>
          <t>DANY - FINANCEIRO LINDA MENINA</t>
        </is>
      </c>
      <c r="B117" s="25" t="inlineStr">
        <is>
          <t>+5511988385465</t>
        </is>
      </c>
      <c r="C117" s="20" t="inlineStr">
        <is>
          <t>Contato não cadastrado na empresa</t>
        </is>
      </c>
      <c r="E117" s="20" t="inlineStr">
        <is>
          <t>LINDA MENINA</t>
        </is>
      </c>
    </row>
    <row r="118">
      <c r="A118" s="20" t="inlineStr">
        <is>
          <t>DP SafetyMed RJ</t>
        </is>
      </c>
      <c r="B118" s="25" t="inlineStr">
        <is>
          <t>+5521964395397</t>
        </is>
      </c>
      <c r="C118" s="20" t="inlineStr">
        <is>
          <t>Contato não cadastrado na empresa</t>
        </is>
      </c>
      <c r="D118" s="20" t="inlineStr">
        <is>
          <t>223 224 225</t>
        </is>
      </c>
      <c r="E118" s="20" t="inlineStr">
        <is>
          <t>SAFETYMED</t>
        </is>
      </c>
    </row>
    <row r="119">
      <c r="A119" s="20" t="inlineStr">
        <is>
          <t>DR. PAULO</t>
        </is>
      </c>
      <c r="B119" s="25" t="inlineStr">
        <is>
          <t>+55119993858823</t>
        </is>
      </c>
      <c r="C119" s="20" t="inlineStr">
        <is>
          <t>Contato não cadastrado na empresa</t>
        </is>
      </c>
      <c r="D119" s="20" t="n">
        <v>47</v>
      </c>
      <c r="E119" s="20" t="inlineStr">
        <is>
          <t>CARTORIO</t>
        </is>
      </c>
    </row>
    <row r="120">
      <c r="A120" s="20" t="inlineStr">
        <is>
          <t>DR. PAULO</t>
        </is>
      </c>
      <c r="B120" s="25" t="inlineStr">
        <is>
          <t>+5511993858823</t>
        </is>
      </c>
      <c r="C120" s="20" t="inlineStr">
        <is>
          <t>Contato não cadastrado na empresa</t>
        </is>
      </c>
      <c r="D120" s="20" t="n">
        <v>47</v>
      </c>
      <c r="E120" s="20" t="inlineStr">
        <is>
          <t>CARTORIO</t>
        </is>
      </c>
    </row>
    <row r="121">
      <c r="A121" s="20" t="inlineStr">
        <is>
          <t>Emerson Jr</t>
        </is>
      </c>
      <c r="B121" s="25" t="inlineStr">
        <is>
          <t>+5589999847351</t>
        </is>
      </c>
      <c r="C121" s="20" t="inlineStr">
        <is>
          <t>Contato não cadastrado na empresa</t>
        </is>
      </c>
      <c r="D121" s="20" t="inlineStr">
        <is>
          <t>239 241</t>
        </is>
      </c>
      <c r="E121" s="20" t="inlineStr">
        <is>
          <t>PORTO</t>
        </is>
      </c>
      <c r="F121" s="22" t="inlineStr">
        <is>
          <t>Contato referente ao grupo PORTO, não ficou claro se faz parte da empresa</t>
        </is>
      </c>
    </row>
    <row r="122">
      <c r="A122" s="20" t="inlineStr">
        <is>
          <t>Enoque (Cont Ant Benvenuti)</t>
        </is>
      </c>
      <c r="B122" s="25" t="inlineStr">
        <is>
          <t>+5545991544580</t>
        </is>
      </c>
      <c r="C122" s="20" t="inlineStr">
        <is>
          <t>Contato não cadastrado na empresa</t>
        </is>
      </c>
      <c r="D122" s="20" t="inlineStr">
        <is>
          <t>243 256</t>
        </is>
      </c>
      <c r="E122" s="20" t="inlineStr">
        <is>
          <t>BENVENUTI</t>
        </is>
      </c>
    </row>
    <row r="123">
      <c r="A123" s="20" t="inlineStr">
        <is>
          <t>Eval (Cont Ant GPG Construtora)</t>
        </is>
      </c>
      <c r="B123" s="25" t="inlineStr">
        <is>
          <t>+5511980802805</t>
        </is>
      </c>
      <c r="C123" s="20" t="inlineStr">
        <is>
          <t>Contato não cadastrado na empresa</t>
        </is>
      </c>
      <c r="D123" s="20" t="n">
        <v>278</v>
      </c>
      <c r="E123" s="20" t="inlineStr">
        <is>
          <t>GPG</t>
        </is>
      </c>
    </row>
    <row r="124">
      <c r="A124" s="20" t="inlineStr">
        <is>
          <t>Everton GAOSEG</t>
        </is>
      </c>
      <c r="B124" s="25" t="inlineStr">
        <is>
          <t>+5511987731202</t>
        </is>
      </c>
      <c r="C124" s="20" t="inlineStr">
        <is>
          <t>Contato não cadastrado na empresa</t>
        </is>
      </c>
      <c r="D124" s="20" t="inlineStr">
        <is>
          <t>319 320 322</t>
        </is>
      </c>
      <c r="E124" s="20" t="inlineStr">
        <is>
          <t>GAOSEG</t>
        </is>
      </c>
    </row>
    <row r="125">
      <c r="A125" s="20" t="inlineStr">
        <is>
          <t>Ex contador THE BAKER</t>
        </is>
      </c>
      <c r="B125" s="25" t="inlineStr">
        <is>
          <t>+551138320008</t>
        </is>
      </c>
      <c r="C125" s="20" t="inlineStr">
        <is>
          <t>Contato não cadastrado na empresa</t>
        </is>
      </c>
      <c r="D125" s="20" t="inlineStr">
        <is>
          <t>205 206 209 210 361</t>
        </is>
      </c>
      <c r="E125" s="20" t="inlineStr">
        <is>
          <t>MY BAKER</t>
        </is>
      </c>
    </row>
    <row r="126">
      <c r="A126" s="20" t="inlineStr">
        <is>
          <t>Fabio ICX Labs</t>
        </is>
      </c>
      <c r="B126" s="25" t="inlineStr">
        <is>
          <t>+5511943205626</t>
        </is>
      </c>
      <c r="C126" s="20" t="inlineStr">
        <is>
          <t>Contato não cadastrado na empresa</t>
        </is>
      </c>
      <c r="D126" s="20" t="n">
        <v>248</v>
      </c>
      <c r="E126" s="20" t="inlineStr">
        <is>
          <t>ICX</t>
        </is>
      </c>
    </row>
    <row r="127">
      <c r="A127" s="20" t="inlineStr">
        <is>
          <t>Fabricio - Prime Skin</t>
        </is>
      </c>
      <c r="B127" s="25" t="inlineStr">
        <is>
          <t>+5511945270814</t>
        </is>
      </c>
      <c r="C127" s="20" t="inlineStr">
        <is>
          <t>Contato não cadastrado na empresa</t>
        </is>
      </c>
      <c r="D127" s="20" t="inlineStr">
        <is>
          <t>293 308 309</t>
        </is>
      </c>
      <c r="E127" s="20" t="inlineStr">
        <is>
          <t>CROSS</t>
        </is>
      </c>
    </row>
    <row r="128">
      <c r="A128" s="20" t="inlineStr">
        <is>
          <t>Felipe Almeida Santos</t>
        </is>
      </c>
      <c r="B128" s="25" t="inlineStr">
        <is>
          <t>+5519984281571</t>
        </is>
      </c>
      <c r="C128" s="20" t="inlineStr">
        <is>
          <t>Contato não cadastrado na empresa</t>
        </is>
      </c>
      <c r="D128" s="20" t="inlineStr">
        <is>
          <t>279 280 281 282</t>
        </is>
      </c>
      <c r="E128" s="20" t="inlineStr">
        <is>
          <t>SORVFOODS</t>
        </is>
      </c>
    </row>
    <row r="129">
      <c r="A129" s="20" t="inlineStr">
        <is>
          <t>FERNANDO - MY BAKER ITAIM</t>
        </is>
      </c>
      <c r="B129" s="25" t="inlineStr">
        <is>
          <t>+5511953717272</t>
        </is>
      </c>
      <c r="C129" s="20" t="inlineStr">
        <is>
          <t>Contato não cadastrado na empresa</t>
        </is>
      </c>
      <c r="D129" s="20" t="inlineStr">
        <is>
          <t>205 206 209 210 361</t>
        </is>
      </c>
      <c r="E129" s="20" t="inlineStr">
        <is>
          <t>MY BAKER</t>
        </is>
      </c>
    </row>
    <row r="130">
      <c r="A130" s="20" t="inlineStr">
        <is>
          <t>Gabriel - Exraven</t>
        </is>
      </c>
      <c r="B130" s="25" t="inlineStr">
        <is>
          <t>+5515991533285</t>
        </is>
      </c>
      <c r="C130" s="20" t="inlineStr">
        <is>
          <t>Contato não cadastrado na empresa</t>
        </is>
      </c>
      <c r="D130" s="20" t="inlineStr">
        <is>
          <t>234 235</t>
        </is>
      </c>
      <c r="E130" s="20" t="inlineStr">
        <is>
          <t>EXRAVEN</t>
        </is>
      </c>
    </row>
    <row r="131">
      <c r="A131" s="20" t="inlineStr">
        <is>
          <t>Geovanna Bataglia - Grupo EVANDRO</t>
        </is>
      </c>
      <c r="B131" s="25" t="inlineStr">
        <is>
          <t>+5511951639771</t>
        </is>
      </c>
      <c r="C131" s="20" t="inlineStr">
        <is>
          <t>Contato não cadastrado na empresa</t>
        </is>
      </c>
      <c r="D131" s="20" t="inlineStr">
        <is>
          <t>238 240 244 247 249 250 251 252 253</t>
        </is>
      </c>
      <c r="E131" s="20" t="inlineStr">
        <is>
          <t>EVANDRO</t>
        </is>
      </c>
      <c r="F131" s="22" t="inlineStr">
        <is>
          <t>Geovanna tem dois números, um está cadastrado no Onvio, mas este não.</t>
        </is>
      </c>
    </row>
    <row r="132">
      <c r="A132" s="20" t="inlineStr">
        <is>
          <t>Gerson Bronze Gerson)</t>
        </is>
      </c>
      <c r="B132" s="25" t="inlineStr">
        <is>
          <t>+5511996664915</t>
        </is>
      </c>
      <c r="C132" s="20" t="inlineStr">
        <is>
          <t>Contato não cadastrado na empresa</t>
        </is>
      </c>
      <c r="D132" s="20" t="inlineStr">
        <is>
          <t>319 320 322</t>
        </is>
      </c>
      <c r="E132" s="20" t="inlineStr">
        <is>
          <t>GAOSEG</t>
        </is>
      </c>
      <c r="F132" s="22" t="inlineStr">
        <is>
          <t>Foi iniciado contato com este a respeito do grupo GAOSEG, mas sem resposta</t>
        </is>
      </c>
    </row>
    <row r="133">
      <c r="A133" s="20" t="inlineStr">
        <is>
          <t>Giovanna (Operação Concurso)</t>
        </is>
      </c>
      <c r="B133" s="25" t="inlineStr">
        <is>
          <t>+5511996831288</t>
        </is>
      </c>
      <c r="C133" s="20" t="inlineStr">
        <is>
          <t>Contato não cadastrado na empresa</t>
        </is>
      </c>
      <c r="D133" s="20" t="n">
        <v>353</v>
      </c>
      <c r="E133" s="20" t="inlineStr">
        <is>
          <t>OPC</t>
        </is>
      </c>
    </row>
    <row r="134">
      <c r="A134" s="20" t="inlineStr">
        <is>
          <t>Giuliano Passini</t>
        </is>
      </c>
      <c r="B134" s="25" t="inlineStr">
        <is>
          <t>+5511983850550</t>
        </is>
      </c>
      <c r="C134" s="20" t="inlineStr">
        <is>
          <t>Contato não cadastrado na empresa</t>
        </is>
      </c>
      <c r="D134" s="20" t="inlineStr">
        <is>
          <t>24 25 99</t>
        </is>
      </c>
      <c r="E134" s="20" t="inlineStr">
        <is>
          <t>AZG</t>
        </is>
      </c>
    </row>
    <row r="135">
      <c r="A135" s="20" t="inlineStr">
        <is>
          <t>Giuliano Passini - FAZZIO e AZG</t>
        </is>
      </c>
      <c r="B135" s="25" t="inlineStr">
        <is>
          <t>+5511983850550</t>
        </is>
      </c>
      <c r="C135" s="20" t="inlineStr">
        <is>
          <t>Contato não cadastrado na empresa</t>
        </is>
      </c>
      <c r="D135" s="20" t="inlineStr">
        <is>
          <t>24 25 99</t>
        </is>
      </c>
      <c r="E135" s="20" t="inlineStr">
        <is>
          <t>AZG</t>
        </is>
      </c>
    </row>
    <row r="136">
      <c r="A136" s="20" t="inlineStr">
        <is>
          <t>Guilherme - BRACHI / NEXUS</t>
        </is>
      </c>
      <c r="B136" s="25" t="inlineStr">
        <is>
          <t>+5511975750993</t>
        </is>
      </c>
      <c r="C136" s="20" t="inlineStr">
        <is>
          <t>Contato não cadastrado na empresa</t>
        </is>
      </c>
      <c r="D136" s="20" t="inlineStr">
        <is>
          <t>335 341</t>
        </is>
      </c>
      <c r="E136" s="20" t="inlineStr">
        <is>
          <t>BRACHI</t>
        </is>
      </c>
    </row>
    <row r="137">
      <c r="A137" s="20" t="inlineStr">
        <is>
          <t>Helija (Contador Ant. Stilus)</t>
        </is>
      </c>
      <c r="B137" s="25" t="inlineStr">
        <is>
          <t>+5516999910661</t>
        </is>
      </c>
      <c r="C137" s="20" t="inlineStr">
        <is>
          <t>Contato não cadastrado na empresa</t>
        </is>
      </c>
      <c r="D137" s="20" t="n">
        <v>169</v>
      </c>
      <c r="E137" s="20" t="inlineStr">
        <is>
          <t>STILUS</t>
        </is>
      </c>
    </row>
    <row r="138">
      <c r="A138" s="20" t="inlineStr">
        <is>
          <t>Infinite Móveis - Contador Anterior</t>
        </is>
      </c>
      <c r="B138" s="25" t="inlineStr">
        <is>
          <t>+551147544424</t>
        </is>
      </c>
      <c r="C138" s="20" t="inlineStr">
        <is>
          <t>Contato não cadastrado na empresa</t>
        </is>
      </c>
      <c r="D138" s="20" t="n">
        <v>289</v>
      </c>
      <c r="E138" s="20" t="inlineStr">
        <is>
          <t>INFINITE MOVEIS</t>
        </is>
      </c>
    </row>
    <row r="139">
      <c r="A139" s="20" t="inlineStr">
        <is>
          <t>Janete (Cont Ant. Safetymed)</t>
        </is>
      </c>
      <c r="B139" s="25" t="inlineStr">
        <is>
          <t>+5521992968885</t>
        </is>
      </c>
      <c r="C139" s="20" t="inlineStr">
        <is>
          <t>Contato não cadastrado na empresa</t>
        </is>
      </c>
      <c r="D139" s="20" t="inlineStr">
        <is>
          <t>223 224 225</t>
        </is>
      </c>
      <c r="E139" s="20" t="inlineStr">
        <is>
          <t>SAFETYMED</t>
        </is>
      </c>
    </row>
    <row r="140">
      <c r="A140" s="20" t="inlineStr">
        <is>
          <t>Jefferson GAOSEG</t>
        </is>
      </c>
      <c r="B140" s="25" t="inlineStr">
        <is>
          <t>+5511982701174</t>
        </is>
      </c>
      <c r="C140" s="20" t="inlineStr">
        <is>
          <t>Contato não cadastrado na empresa</t>
        </is>
      </c>
      <c r="D140" s="20" t="inlineStr">
        <is>
          <t>319 320 322</t>
        </is>
      </c>
      <c r="E140" s="20" t="inlineStr">
        <is>
          <t>GAOSEG</t>
        </is>
      </c>
    </row>
    <row r="141">
      <c r="A141" s="20" t="inlineStr">
        <is>
          <t xml:space="preserve">Jéssica  - Anna Terra </t>
        </is>
      </c>
      <c r="B141" s="25" t="inlineStr">
        <is>
          <t>+5519971469527</t>
        </is>
      </c>
      <c r="C141" s="20" t="inlineStr">
        <is>
          <t>Contato não cadastrado na empresa</t>
        </is>
      </c>
      <c r="D141" s="20" t="inlineStr">
        <is>
          <t>290 291 307</t>
        </is>
      </c>
      <c r="E141" s="20" t="inlineStr">
        <is>
          <t>ANNA TERRA</t>
        </is>
      </c>
    </row>
    <row r="142">
      <c r="A142" s="20" t="inlineStr">
        <is>
          <t>Jéssica (Xalé Grill)</t>
        </is>
      </c>
      <c r="B142" s="25" t="inlineStr">
        <is>
          <t>+5524992049044</t>
        </is>
      </c>
      <c r="C142" s="20" t="inlineStr">
        <is>
          <t>Contato não cadastrado na empresa</t>
        </is>
      </c>
      <c r="D142" s="20" t="n">
        <v>267</v>
      </c>
      <c r="E142" s="20" t="inlineStr">
        <is>
          <t>XALE GRILL</t>
        </is>
      </c>
    </row>
    <row r="143">
      <c r="A143" s="20" t="inlineStr">
        <is>
          <t>Joao Paulo Exraven</t>
        </is>
      </c>
      <c r="B143" s="25" t="inlineStr">
        <is>
          <t>+5515997043644</t>
        </is>
      </c>
      <c r="C143" s="20" t="inlineStr">
        <is>
          <t>Contato não cadastrado na empresa</t>
        </is>
      </c>
      <c r="D143" s="20" t="inlineStr">
        <is>
          <t>234 235</t>
        </is>
      </c>
      <c r="E143" s="20" t="inlineStr">
        <is>
          <t>EXRAVEN</t>
        </is>
      </c>
    </row>
    <row r="144">
      <c r="A144" s="20" t="inlineStr">
        <is>
          <t>João Victor (Esc. Ant. Xalé Grill)</t>
        </is>
      </c>
      <c r="B144" s="25" t="inlineStr">
        <is>
          <t>+5524999114236</t>
        </is>
      </c>
      <c r="C144" s="20" t="inlineStr">
        <is>
          <t>Contato não cadastrado na empresa</t>
        </is>
      </c>
      <c r="D144" s="20" t="n">
        <v>267</v>
      </c>
      <c r="E144" s="20" t="inlineStr">
        <is>
          <t>XALE GRILL</t>
        </is>
      </c>
    </row>
    <row r="145">
      <c r="A145" s="20" t="inlineStr">
        <is>
          <t>Jonatas - Ciclomade/programador</t>
        </is>
      </c>
      <c r="B145" s="25" t="inlineStr">
        <is>
          <t>+5516996444812</t>
        </is>
      </c>
      <c r="C145" s="20" t="inlineStr">
        <is>
          <t>Contato não cadastrado na empresa</t>
        </is>
      </c>
      <c r="D145" s="20" t="n">
        <v>81</v>
      </c>
      <c r="E145" s="20" t="inlineStr">
        <is>
          <t>CICLOMADE</t>
        </is>
      </c>
      <c r="H145" t="inlineStr">
        <is>
          <t>Temporaria2#</t>
        </is>
      </c>
    </row>
    <row r="146">
      <c r="A146" s="20" t="inlineStr">
        <is>
          <t xml:space="preserve">Jorge (Manuns) </t>
        </is>
      </c>
      <c r="B146" s="25" t="inlineStr">
        <is>
          <t>+5512997951956</t>
        </is>
      </c>
      <c r="C146" s="20" t="inlineStr">
        <is>
          <t>Contato não cadastrado na empresa</t>
        </is>
      </c>
      <c r="D146" s="20" t="n">
        <v>17</v>
      </c>
      <c r="E146" s="20" t="inlineStr">
        <is>
          <t>LIBERTANGO</t>
        </is>
      </c>
    </row>
    <row r="147">
      <c r="A147" s="20" t="inlineStr">
        <is>
          <t xml:space="preserve">Jorge (Manuns) </t>
        </is>
      </c>
      <c r="B147" s="25" t="inlineStr">
        <is>
          <t>+5512999795195</t>
        </is>
      </c>
      <c r="C147" s="20" t="inlineStr">
        <is>
          <t>Contato não cadastrado na empresa</t>
        </is>
      </c>
      <c r="D147" s="20" t="n">
        <v>17</v>
      </c>
      <c r="E147" s="20" t="inlineStr">
        <is>
          <t>LIBERTANGO</t>
        </is>
      </c>
    </row>
    <row r="148">
      <c r="A148" s="20" t="inlineStr">
        <is>
          <t>Juliana PF OF</t>
        </is>
      </c>
      <c r="B148" s="25" t="inlineStr">
        <is>
          <t>+5511993646363</t>
        </is>
      </c>
      <c r="C148" s="20" t="inlineStr">
        <is>
          <t>Contato não cadastrado na empresa</t>
        </is>
      </c>
      <c r="D148" s="20" t="inlineStr">
        <is>
          <t>7 8 9 11 12 13 14 15 16 18 66</t>
        </is>
      </c>
      <c r="E148" s="20" t="inlineStr">
        <is>
          <t>OFICIAL FARMA</t>
        </is>
      </c>
    </row>
    <row r="149">
      <c r="A149" s="20" t="inlineStr">
        <is>
          <t>Junia Leal - Cont Ant Cross Clean</t>
        </is>
      </c>
      <c r="B149" s="25" t="inlineStr">
        <is>
          <t>+5519992413691</t>
        </is>
      </c>
      <c r="C149" s="20" t="inlineStr">
        <is>
          <t>Contato não cadastrado na empresa</t>
        </is>
      </c>
      <c r="D149" s="20" t="inlineStr">
        <is>
          <t>293 308 309</t>
        </is>
      </c>
      <c r="E149" s="20" t="inlineStr">
        <is>
          <t>CROSS</t>
        </is>
      </c>
    </row>
    <row r="150">
      <c r="A150" s="20" t="inlineStr">
        <is>
          <t>Junior cont. ant. Lilian Lilatur</t>
        </is>
      </c>
      <c r="B150" s="25" t="inlineStr">
        <is>
          <t>+5511974386889</t>
        </is>
      </c>
      <c r="C150" s="20" t="inlineStr">
        <is>
          <t>Contato não cadastrado na empresa</t>
        </is>
      </c>
      <c r="D150" s="20" t="n">
        <v>302</v>
      </c>
      <c r="E150" s="20" t="inlineStr">
        <is>
          <t>ASTRO</t>
        </is>
      </c>
    </row>
    <row r="151">
      <c r="A151" s="20" t="inlineStr">
        <is>
          <t>Junior ITJ</t>
        </is>
      </c>
      <c r="B151" s="25" t="inlineStr">
        <is>
          <t>+5511994951835</t>
        </is>
      </c>
      <c r="C151" s="20" t="inlineStr">
        <is>
          <t>Contato não cadastrado na empresa</t>
        </is>
      </c>
      <c r="D151" s="20" t="n">
        <v>108</v>
      </c>
      <c r="E151" s="20" t="inlineStr">
        <is>
          <t>JAH</t>
        </is>
      </c>
    </row>
    <row r="152">
      <c r="A152" s="20" t="inlineStr">
        <is>
          <t>Katy Fagundes ✦</t>
        </is>
      </c>
      <c r="B152" s="25" t="inlineStr">
        <is>
          <t>+5511997821848</t>
        </is>
      </c>
      <c r="C152" s="20" t="inlineStr">
        <is>
          <t>Contato não cadastrado na empresa</t>
        </is>
      </c>
      <c r="D152" s="20" t="n">
        <v>35</v>
      </c>
      <c r="E152" s="20" t="inlineStr">
        <is>
          <t>SKIN</t>
        </is>
      </c>
    </row>
    <row r="153">
      <c r="A153" s="20" t="inlineStr">
        <is>
          <t>Kelly - Rosela</t>
        </is>
      </c>
      <c r="B153" s="25" t="inlineStr">
        <is>
          <t>+5513974035886</t>
        </is>
      </c>
      <c r="C153" s="20" t="inlineStr">
        <is>
          <t>Contato não cadastrado na empresa</t>
        </is>
      </c>
      <c r="D153" s="20" t="n">
        <v>237</v>
      </c>
      <c r="E153" s="20" t="inlineStr">
        <is>
          <t>ROSELA</t>
        </is>
      </c>
    </row>
    <row r="154">
      <c r="A154" s="20" t="inlineStr">
        <is>
          <t>Kelly (Cont Ant Studio Ranieli)</t>
        </is>
      </c>
      <c r="B154" s="25" t="inlineStr">
        <is>
          <t>+5515997528388</t>
        </is>
      </c>
      <c r="C154" s="20" t="inlineStr">
        <is>
          <t>Contato não cadastrado na empresa</t>
        </is>
      </c>
      <c r="D154" s="20" t="inlineStr">
        <is>
          <t>273 287</t>
        </is>
      </c>
      <c r="E154" s="20" t="inlineStr">
        <is>
          <t>STUDIO RANIELE</t>
        </is>
      </c>
    </row>
    <row r="155">
      <c r="A155" s="20" t="inlineStr">
        <is>
          <t>Leandro Eltexs</t>
        </is>
      </c>
      <c r="B155" s="25" t="inlineStr">
        <is>
          <t>+5513974088247</t>
        </is>
      </c>
      <c r="C155" s="20" t="inlineStr">
        <is>
          <t>Contato não cadastrado na empresa</t>
        </is>
      </c>
      <c r="D155" s="20" t="inlineStr">
        <is>
          <t>332 337</t>
        </is>
      </c>
      <c r="E155" s="20" t="inlineStr">
        <is>
          <t>ELTEX'S</t>
        </is>
      </c>
    </row>
    <row r="156">
      <c r="A156" s="20" t="inlineStr">
        <is>
          <t>Leticia - SKIN</t>
        </is>
      </c>
      <c r="B156" s="25" t="inlineStr">
        <is>
          <t>+5511976079039</t>
        </is>
      </c>
      <c r="C156" s="20" t="inlineStr">
        <is>
          <t>Contato não cadastrado na empresa</t>
        </is>
      </c>
      <c r="D156" s="20" t="n">
        <v>35</v>
      </c>
      <c r="E156" s="20" t="inlineStr">
        <is>
          <t>SKIN</t>
        </is>
      </c>
    </row>
    <row r="157">
      <c r="A157" s="20" t="inlineStr">
        <is>
          <t>Lucas - ANNA TERRA</t>
        </is>
      </c>
      <c r="B157" s="25" t="inlineStr">
        <is>
          <t>+5519995348587</t>
        </is>
      </c>
      <c r="C157" s="20" t="inlineStr">
        <is>
          <t>Contato não cadastrado na empresa</t>
        </is>
      </c>
      <c r="D157" s="20" t="inlineStr">
        <is>
          <t>290 291 307</t>
        </is>
      </c>
      <c r="E157" s="20" t="inlineStr">
        <is>
          <t>ANNA TERRA</t>
        </is>
      </c>
      <c r="G157" s="6" t="n"/>
    </row>
    <row r="158">
      <c r="A158" s="20" t="inlineStr">
        <is>
          <t>Luciene (Frutas Pain)</t>
        </is>
      </c>
      <c r="B158" s="25" t="inlineStr">
        <is>
          <t>+5511968519029</t>
        </is>
      </c>
      <c r="C158" s="20" t="inlineStr">
        <is>
          <t>Contato não cadastrado na empresa</t>
        </is>
      </c>
      <c r="D158" s="20" t="inlineStr">
        <is>
          <t>126 127</t>
        </is>
      </c>
      <c r="E158" s="20" t="inlineStr">
        <is>
          <t>PAIN</t>
        </is>
      </c>
    </row>
    <row r="159">
      <c r="A159" s="20" t="inlineStr">
        <is>
          <t>Lucimara GPG</t>
        </is>
      </c>
      <c r="B159" s="25" t="inlineStr">
        <is>
          <t>+5511958512270</t>
        </is>
      </c>
      <c r="C159" s="20" t="inlineStr">
        <is>
          <t>Contato não cadastrado na empresa</t>
        </is>
      </c>
      <c r="D159" s="20" t="n">
        <v>278</v>
      </c>
      <c r="E159" s="20" t="inlineStr">
        <is>
          <t>GPG</t>
        </is>
      </c>
    </row>
    <row r="160">
      <c r="A160" s="20" t="inlineStr">
        <is>
          <t xml:space="preserve">Lucinha (Manuns) </t>
        </is>
      </c>
      <c r="B160" s="25" t="inlineStr">
        <is>
          <t>+5512996201960</t>
        </is>
      </c>
      <c r="C160" s="20" t="inlineStr">
        <is>
          <t>Contato não cadastrado na empresa</t>
        </is>
      </c>
      <c r="D160" s="20" t="n">
        <v>17</v>
      </c>
      <c r="E160" s="20" t="inlineStr">
        <is>
          <t>LIBERTANGO</t>
        </is>
      </c>
    </row>
    <row r="161">
      <c r="A161" s="20" t="inlineStr">
        <is>
          <t>Luis (Bundchen Clínica Veterinária)</t>
        </is>
      </c>
      <c r="B161" s="25" t="inlineStr">
        <is>
          <t>+5551997771434</t>
        </is>
      </c>
      <c r="C161" s="20" t="inlineStr">
        <is>
          <t>Contato não cadastrado na empresa</t>
        </is>
      </c>
      <c r="D161" s="20" t="n">
        <v>258</v>
      </c>
      <c r="E161" s="20" t="inlineStr">
        <is>
          <t>BUNDCHEN VETERINARIA</t>
        </is>
      </c>
    </row>
    <row r="162">
      <c r="A162" s="20" t="inlineStr">
        <is>
          <t>Luis Diniz Contador</t>
        </is>
      </c>
      <c r="B162" s="25" t="inlineStr">
        <is>
          <t>+5519991142084</t>
        </is>
      </c>
      <c r="C162" s="20" t="inlineStr">
        <is>
          <t>Contato não cadastrado na empresa</t>
        </is>
      </c>
      <c r="D162" s="20" t="n">
        <v>285</v>
      </c>
      <c r="E162" s="20" t="inlineStr">
        <is>
          <t>SORVFOODS</t>
        </is>
      </c>
    </row>
    <row r="163">
      <c r="A163" s="20" t="inlineStr">
        <is>
          <t>Luis LGL</t>
        </is>
      </c>
      <c r="B163" s="25" t="inlineStr">
        <is>
          <t>+5511966257451</t>
        </is>
      </c>
      <c r="C163" s="20" t="inlineStr">
        <is>
          <t>Contato não cadastrado na empresa</t>
        </is>
      </c>
      <c r="D163" s="20" t="n">
        <v>90</v>
      </c>
      <c r="E163" s="20" t="inlineStr">
        <is>
          <t>LGL</t>
        </is>
      </c>
    </row>
    <row r="164">
      <c r="A164" s="20" t="inlineStr">
        <is>
          <t>Luis X Menu Groke (Xalé - sistemas)</t>
        </is>
      </c>
      <c r="B164" s="25" t="inlineStr">
        <is>
          <t>+5524981308330</t>
        </is>
      </c>
      <c r="C164" s="20" t="inlineStr">
        <is>
          <t>Contato não cadastrado na empresa</t>
        </is>
      </c>
      <c r="D164" s="20" t="n">
        <v>267</v>
      </c>
      <c r="E164" s="20" t="inlineStr">
        <is>
          <t>XALE GRILL</t>
        </is>
      </c>
    </row>
    <row r="165">
      <c r="A165" s="20" t="inlineStr">
        <is>
          <t>MARCELO SGG</t>
        </is>
      </c>
      <c r="B165" s="25" t="inlineStr">
        <is>
          <t>+5516999994088</t>
        </is>
      </c>
      <c r="C165" s="20" t="inlineStr">
        <is>
          <t>Contato não cadastrado na empresa</t>
        </is>
      </c>
      <c r="D165" s="20" t="n">
        <v>49</v>
      </c>
      <c r="E165" s="20" t="inlineStr">
        <is>
          <t>SGG</t>
        </is>
      </c>
    </row>
    <row r="166">
      <c r="A166" s="20" t="inlineStr">
        <is>
          <t>Márcia Patrícia A</t>
        </is>
      </c>
      <c r="B166" s="25" t="inlineStr">
        <is>
          <t>+5511917620996</t>
        </is>
      </c>
      <c r="C166" s="20" t="inlineStr">
        <is>
          <t>Contato não cadastrado na empresa</t>
        </is>
      </c>
      <c r="D166" s="20" t="inlineStr">
        <is>
          <t>205 206 209 210 361</t>
        </is>
      </c>
      <c r="E166" s="20" t="inlineStr">
        <is>
          <t>MY BAKER</t>
        </is>
      </c>
      <c r="F166" s="22" t="inlineStr">
        <is>
          <t>Contato referente a grupo MY BAKER, não ficou claro se representa o grupo</t>
        </is>
      </c>
    </row>
    <row r="167">
      <c r="A167" s="20" t="inlineStr">
        <is>
          <t>MARCUS JOGÊ</t>
        </is>
      </c>
      <c r="B167" s="25" t="inlineStr">
        <is>
          <t>+5551996365389</t>
        </is>
      </c>
      <c r="C167" s="20" t="inlineStr">
        <is>
          <t>Contato não cadastrado na empresa</t>
        </is>
      </c>
      <c r="D167" s="20" t="inlineStr">
        <is>
          <t>177 178 179 180 181 182 183 184 185 186 187 188 189 190 191 192 193 194 195 196 197 198 199 200 201 202 203 211 216 220 221 222 254 255</t>
        </is>
      </c>
      <c r="E167" s="20" t="inlineStr">
        <is>
          <t>JCF</t>
        </is>
      </c>
      <c r="F167" s="22" t="inlineStr">
        <is>
          <t>Não cadastrado na matriz (177), orientado a somente cadastrar na Matriz todos da JCF</t>
        </is>
      </c>
    </row>
    <row r="168">
      <c r="A168" s="20" t="inlineStr">
        <is>
          <t>MARCUS JOGÊ (DDD errado)</t>
        </is>
      </c>
      <c r="B168" s="25" t="inlineStr">
        <is>
          <t>+5555996365389</t>
        </is>
      </c>
      <c r="C168" s="20" t="inlineStr">
        <is>
          <t>Contato não cadastrado na empresa</t>
        </is>
      </c>
      <c r="D168" s="20" t="inlineStr">
        <is>
          <t>177 178 179 180 181 182 183 184 185 186 187 188 189 190 191 192 193 194 195 196 197 198 199 200 201 202 203 211 216 220 221 222 254 255</t>
        </is>
      </c>
      <c r="E168" s="20" t="inlineStr">
        <is>
          <t>JCF</t>
        </is>
      </c>
      <c r="F168" s="22" t="inlineStr">
        <is>
          <t>Número errado, mantido pra registro de setembro da nossa versão</t>
        </is>
      </c>
    </row>
    <row r="169">
      <c r="A169" s="20" t="inlineStr">
        <is>
          <t>Mauricio (Contador ant. Valen)</t>
        </is>
      </c>
      <c r="B169" s="25" t="inlineStr">
        <is>
          <t>+5511940599333</t>
        </is>
      </c>
      <c r="C169" s="20" t="inlineStr">
        <is>
          <t>Contato não cadastrado na empresa</t>
        </is>
      </c>
      <c r="D169" s="20" t="n">
        <v>274</v>
      </c>
      <c r="E169" s="20" t="inlineStr">
        <is>
          <t>VALENS</t>
        </is>
      </c>
    </row>
    <row r="170">
      <c r="A170" s="20" t="inlineStr">
        <is>
          <t>Mauricio TENET</t>
        </is>
      </c>
      <c r="B170" s="25" t="inlineStr">
        <is>
          <t>+5511976386405</t>
        </is>
      </c>
      <c r="C170" s="20" t="inlineStr">
        <is>
          <t>Contato não cadastrado na empresa</t>
        </is>
      </c>
      <c r="D170" s="20" t="n">
        <v>144</v>
      </c>
      <c r="E170" s="20" t="inlineStr">
        <is>
          <t>TENET</t>
        </is>
      </c>
    </row>
    <row r="171">
      <c r="A171" s="20" t="inlineStr">
        <is>
          <t>Mayumi</t>
        </is>
      </c>
      <c r="B171" s="25" t="inlineStr">
        <is>
          <t>+5511974435181</t>
        </is>
      </c>
      <c r="C171" s="20" t="inlineStr">
        <is>
          <t>Contato não cadastrado na empresa</t>
        </is>
      </c>
      <c r="D171" s="20" t="inlineStr">
        <is>
          <t>27 78 84 94</t>
        </is>
      </c>
      <c r="E171" s="20" t="inlineStr">
        <is>
          <t>KENAI</t>
        </is>
      </c>
    </row>
    <row r="172">
      <c r="A172" s="20" t="inlineStr">
        <is>
          <t>Metalúrgica Novo Tempo</t>
        </is>
      </c>
      <c r="B172" s="25" t="inlineStr">
        <is>
          <t>+5577998519398</t>
        </is>
      </c>
      <c r="C172" s="20" t="inlineStr">
        <is>
          <t>Contato não cadastrado na empresa</t>
        </is>
      </c>
      <c r="D172" s="20" t="inlineStr">
        <is>
          <t>239 241</t>
        </is>
      </c>
      <c r="E172" s="20" t="inlineStr">
        <is>
          <t>PORTO</t>
        </is>
      </c>
      <c r="F172" s="22" t="inlineStr">
        <is>
          <t>Alane?</t>
        </is>
      </c>
    </row>
    <row r="173">
      <c r="A173" s="20" t="inlineStr">
        <is>
          <t>Miriam - BENVENUTI</t>
        </is>
      </c>
      <c r="B173" s="25" t="inlineStr">
        <is>
          <t>+554530366490</t>
        </is>
      </c>
      <c r="C173" s="20" t="inlineStr">
        <is>
          <t>Contato não cadastrado na empresa</t>
        </is>
      </c>
      <c r="D173" s="20" t="inlineStr">
        <is>
          <t>243 256</t>
        </is>
      </c>
      <c r="E173" s="20" t="inlineStr">
        <is>
          <t>BENVENUTI</t>
        </is>
      </c>
    </row>
    <row r="174">
      <c r="A174" s="20" t="inlineStr">
        <is>
          <t>Modelação Stilus</t>
        </is>
      </c>
      <c r="B174" s="25" t="inlineStr">
        <is>
          <t>+551632036601</t>
        </is>
      </c>
      <c r="C174" s="20" t="inlineStr">
        <is>
          <t>Contato não cadastrado na empresa</t>
        </is>
      </c>
      <c r="D174" s="20" t="n">
        <v>168</v>
      </c>
      <c r="E174" s="20" t="inlineStr">
        <is>
          <t>STILUS</t>
        </is>
      </c>
    </row>
    <row r="175">
      <c r="A175" s="20" t="inlineStr">
        <is>
          <t>Modern (Cont ant Valen)</t>
        </is>
      </c>
      <c r="B175" s="25" t="inlineStr">
        <is>
          <t>+5511943020607</t>
        </is>
      </c>
      <c r="C175" s="20" t="inlineStr">
        <is>
          <t>Contato não cadastrado na empresa</t>
        </is>
      </c>
      <c r="D175" s="20" t="n">
        <v>274</v>
      </c>
      <c r="E175" s="20" t="inlineStr">
        <is>
          <t>VALENS</t>
        </is>
      </c>
    </row>
    <row r="176">
      <c r="A176" s="20" t="inlineStr">
        <is>
          <t>Nathan (Valens)</t>
        </is>
      </c>
      <c r="B176" s="25" t="inlineStr">
        <is>
          <t>+5551980267661</t>
        </is>
      </c>
      <c r="C176" s="20" t="inlineStr">
        <is>
          <t>Contato não cadastrado na empresa</t>
        </is>
      </c>
      <c r="D176" s="20" t="n">
        <v>274</v>
      </c>
      <c r="E176" s="20" t="inlineStr">
        <is>
          <t>VALENS</t>
        </is>
      </c>
    </row>
    <row r="177">
      <c r="A177" s="20" t="inlineStr">
        <is>
          <t>Patrícia (Ormix)</t>
        </is>
      </c>
      <c r="B177" s="25" t="inlineStr">
        <is>
          <t>+5514981043896</t>
        </is>
      </c>
      <c r="C177" s="20" t="inlineStr">
        <is>
          <t>Contato não cadastrado na empresa</t>
        </is>
      </c>
      <c r="D177" s="20" t="n">
        <v>121</v>
      </c>
      <c r="E177" s="20" t="inlineStr">
        <is>
          <t>ORMIX</t>
        </is>
      </c>
    </row>
    <row r="178">
      <c r="A178" s="20" t="inlineStr">
        <is>
          <t>Paula - Etre</t>
        </is>
      </c>
      <c r="B178" s="25" t="inlineStr">
        <is>
          <t>+5511987361212</t>
        </is>
      </c>
      <c r="C178" s="20" t="inlineStr">
        <is>
          <t>Contato não cadastrado na empresa</t>
        </is>
      </c>
      <c r="D178" s="20" t="n">
        <v>95</v>
      </c>
      <c r="E178" s="20" t="inlineStr">
        <is>
          <t>ETRE</t>
        </is>
      </c>
    </row>
    <row r="179">
      <c r="A179" s="20" t="inlineStr">
        <is>
          <t>Paulo Onofrut</t>
        </is>
      </c>
      <c r="B179" s="25" t="inlineStr">
        <is>
          <t>+5511963320886</t>
        </is>
      </c>
      <c r="C179" s="20" t="inlineStr">
        <is>
          <t>Contato não cadastrado na empresa</t>
        </is>
      </c>
      <c r="D179" s="20" t="inlineStr">
        <is>
          <t>245 300</t>
        </is>
      </c>
      <c r="E179" s="20" t="inlineStr">
        <is>
          <t>ONOFRUTI</t>
        </is>
      </c>
    </row>
    <row r="180">
      <c r="A180" s="20" t="inlineStr">
        <is>
          <t>Pedro (Agro Bela Vista)</t>
        </is>
      </c>
      <c r="B180" s="25" t="inlineStr">
        <is>
          <t>+55119993304344</t>
        </is>
      </c>
      <c r="C180" s="20" t="inlineStr">
        <is>
          <t>Contato não cadastrado na empresa</t>
        </is>
      </c>
      <c r="D180" s="20" t="n">
        <v>154</v>
      </c>
      <c r="E180" s="20" t="inlineStr">
        <is>
          <t>REAL FRUTAS</t>
        </is>
      </c>
    </row>
    <row r="181">
      <c r="A181" s="20" t="inlineStr">
        <is>
          <t>Pedro (Grupo Massaru)</t>
        </is>
      </c>
      <c r="B181" s="25" t="inlineStr">
        <is>
          <t>+5511974696340</t>
        </is>
      </c>
      <c r="C181" s="20" t="inlineStr">
        <is>
          <t>Contato não cadastrado na empresa</t>
        </is>
      </c>
      <c r="D181" s="20" t="inlineStr">
        <is>
          <t>27 78 84 94</t>
        </is>
      </c>
      <c r="E181" s="20" t="inlineStr">
        <is>
          <t>KENAI</t>
        </is>
      </c>
    </row>
    <row r="182">
      <c r="A182" s="20" t="inlineStr">
        <is>
          <t>Pricila</t>
        </is>
      </c>
      <c r="B182" s="25" t="inlineStr">
        <is>
          <t>+5511996350733</t>
        </is>
      </c>
      <c r="C182" s="20" t="inlineStr">
        <is>
          <t>Contato não cadastrado na empresa</t>
        </is>
      </c>
      <c r="D182" s="20" t="inlineStr">
        <is>
          <t>19 51 67 68 70</t>
        </is>
      </c>
      <c r="E182" s="20" t="inlineStr">
        <is>
          <t>PETRO</t>
        </is>
      </c>
    </row>
    <row r="183">
      <c r="A183" s="20" t="inlineStr">
        <is>
          <t>Rafael - ALTUS</t>
        </is>
      </c>
      <c r="B183" s="25" t="inlineStr">
        <is>
          <t>+5567991678716</t>
        </is>
      </c>
      <c r="C183" s="20" t="inlineStr">
        <is>
          <t>Contato não cadastrado na empresa</t>
        </is>
      </c>
      <c r="D183" s="20" t="n">
        <v>343</v>
      </c>
      <c r="E183" s="20" t="inlineStr">
        <is>
          <t>ALTUS</t>
        </is>
      </c>
    </row>
    <row r="184">
      <c r="A184" s="20" t="inlineStr">
        <is>
          <t>Rh Cross Clean</t>
        </is>
      </c>
      <c r="B184" s="25" t="inlineStr">
        <is>
          <t>+5511976574728</t>
        </is>
      </c>
      <c r="C184" s="20" t="inlineStr">
        <is>
          <t>Contato não cadastrado na empresa</t>
        </is>
      </c>
      <c r="D184" s="20" t="inlineStr">
        <is>
          <t>293 308 309</t>
        </is>
      </c>
      <c r="E184" s="20" t="inlineStr">
        <is>
          <t>CROSS</t>
        </is>
      </c>
    </row>
    <row r="185">
      <c r="A185" s="20" t="inlineStr">
        <is>
          <t>Robson Cont. Ant GAOSEG e LOUGE HAIR</t>
        </is>
      </c>
      <c r="B185" s="25" t="inlineStr">
        <is>
          <t>+5511991383877</t>
        </is>
      </c>
      <c r="C185" s="20" t="inlineStr">
        <is>
          <t>Contato não cadastrado na empresa</t>
        </is>
      </c>
      <c r="D185" s="20" t="inlineStr">
        <is>
          <t>319 320 329</t>
        </is>
      </c>
      <c r="E185" s="20" t="inlineStr">
        <is>
          <t>GAOSEG/LOUNGEHAIR</t>
        </is>
      </c>
    </row>
    <row r="186">
      <c r="A186" s="20" t="inlineStr">
        <is>
          <t>RODRIGO ADV</t>
        </is>
      </c>
      <c r="B186" s="25" t="inlineStr">
        <is>
          <t>+5511976175587</t>
        </is>
      </c>
      <c r="C186" s="20" t="inlineStr">
        <is>
          <t>Contato não cadastrado na empresa</t>
        </is>
      </c>
      <c r="D186" s="20" t="n">
        <v>175</v>
      </c>
      <c r="E186" s="20" t="inlineStr">
        <is>
          <t>VAII</t>
        </is>
      </c>
    </row>
    <row r="187">
      <c r="A187" s="20" t="inlineStr">
        <is>
          <t>Rosana (Cont Ant Bundchen)</t>
        </is>
      </c>
      <c r="B187" s="25" t="inlineStr">
        <is>
          <t>+5551989185241</t>
        </is>
      </c>
      <c r="C187" s="20" t="inlineStr">
        <is>
          <t>Contato não cadastrado na empresa</t>
        </is>
      </c>
      <c r="D187" s="20" t="n">
        <v>258</v>
      </c>
      <c r="E187" s="20" t="inlineStr">
        <is>
          <t>BUNDCHEN VETERINARIA</t>
        </is>
      </c>
    </row>
    <row r="188">
      <c r="A188" s="20" t="inlineStr">
        <is>
          <t>Silver Weibull do Brasil</t>
        </is>
      </c>
      <c r="B188" s="25" t="inlineStr">
        <is>
          <t>+5516997922050</t>
        </is>
      </c>
      <c r="C188" s="20" t="inlineStr">
        <is>
          <t>Contato não cadastrado na empresa</t>
        </is>
      </c>
      <c r="D188" s="20" t="n">
        <v>149</v>
      </c>
      <c r="E188" s="20" t="inlineStr">
        <is>
          <t>SILVER</t>
        </is>
      </c>
    </row>
    <row r="189">
      <c r="A189" s="20" t="inlineStr">
        <is>
          <t>Simone (Cartório)</t>
        </is>
      </c>
      <c r="B189" s="25" t="inlineStr">
        <is>
          <t>+5519984422856</t>
        </is>
      </c>
      <c r="C189" s="20" t="inlineStr">
        <is>
          <t>Contato não cadastrado na empresa</t>
        </is>
      </c>
      <c r="D189" s="20" t="n">
        <v>47</v>
      </c>
      <c r="E189" s="20" t="inlineStr">
        <is>
          <t>CARTORIO</t>
        </is>
      </c>
    </row>
    <row r="190">
      <c r="A190" s="20" t="inlineStr">
        <is>
          <t>SorvFood’s RH</t>
        </is>
      </c>
      <c r="B190" s="25" t="inlineStr">
        <is>
          <t>+5519991664571</t>
        </is>
      </c>
      <c r="C190" s="20" t="inlineStr">
        <is>
          <t>Contato não cadastrado na empresa</t>
        </is>
      </c>
      <c r="D190" s="20" t="inlineStr">
        <is>
          <t>279 280 281 282</t>
        </is>
      </c>
      <c r="E190" s="20" t="inlineStr">
        <is>
          <t>SORVFOODS</t>
        </is>
      </c>
    </row>
    <row r="191">
      <c r="A191" s="20" t="inlineStr">
        <is>
          <t>Stéfany Honorato (Jesan - Xalé Grill Grup)</t>
        </is>
      </c>
      <c r="B191" s="25" t="inlineStr">
        <is>
          <t>+5524999390858</t>
        </is>
      </c>
      <c r="C191" s="20" t="inlineStr">
        <is>
          <t>Contato não cadastrado na empresa</t>
        </is>
      </c>
      <c r="D191" s="20" t="n">
        <v>267</v>
      </c>
      <c r="E191" s="20" t="inlineStr">
        <is>
          <t>XALE GRILL</t>
        </is>
      </c>
      <c r="F191" s="22" t="inlineStr">
        <is>
          <t>Contato referente a cliente Xalé Grill, não ficou claro se representa o grupo</t>
        </is>
      </c>
    </row>
    <row r="192">
      <c r="A192" s="20" t="inlineStr">
        <is>
          <t>Talita - ART MUSEU FERRAGENS</t>
        </is>
      </c>
      <c r="B192" s="25" t="inlineStr">
        <is>
          <t>+5516999939020</t>
        </is>
      </c>
      <c r="C192" s="20" t="inlineStr">
        <is>
          <t>Contato não cadastrado na empresa</t>
        </is>
      </c>
      <c r="D192" s="20" t="n">
        <v>42</v>
      </c>
      <c r="E192" s="20" t="inlineStr">
        <is>
          <t>ART MUS</t>
        </is>
      </c>
    </row>
    <row r="193">
      <c r="A193" s="20" t="inlineStr">
        <is>
          <t>Ted (My Baker)</t>
        </is>
      </c>
      <c r="B193" s="25" t="inlineStr">
        <is>
          <t>+5511982822332</t>
        </is>
      </c>
      <c r="C193" s="20" t="inlineStr">
        <is>
          <t>Contato não cadastrado na empresa</t>
        </is>
      </c>
      <c r="D193" s="20" t="inlineStr">
        <is>
          <t>205 206 209 210 361</t>
        </is>
      </c>
      <c r="E193" s="20" t="inlineStr">
        <is>
          <t>MY BAKER</t>
        </is>
      </c>
    </row>
    <row r="194">
      <c r="A194" s="20" t="inlineStr">
        <is>
          <t>Thais (Techposto)</t>
        </is>
      </c>
      <c r="B194" s="25" t="inlineStr">
        <is>
          <t>+5511956960919</t>
        </is>
      </c>
      <c r="C194" s="20" t="inlineStr">
        <is>
          <t>Contato não cadastrado na empresa</t>
        </is>
      </c>
      <c r="D194" s="20" t="inlineStr">
        <is>
          <t>161 162 163</t>
        </is>
      </c>
      <c r="E194" s="20" t="inlineStr">
        <is>
          <t>TECHPOSTO</t>
        </is>
      </c>
    </row>
    <row r="195">
      <c r="A195" s="20" t="inlineStr">
        <is>
          <t>Tuta Aquino</t>
        </is>
      </c>
      <c r="B195" s="25" t="inlineStr">
        <is>
          <t>+5511991164884</t>
        </is>
      </c>
      <c r="C195" s="20" t="inlineStr">
        <is>
          <t>Contato não cadastrado na empresa</t>
        </is>
      </c>
      <c r="D195" s="20" t="inlineStr">
        <is>
          <t>301 302 312 313 314 315 316 317 318 331 352</t>
        </is>
      </c>
      <c r="E195" s="20" t="inlineStr">
        <is>
          <t>ASTRO</t>
        </is>
      </c>
    </row>
    <row r="196">
      <c r="A196" s="20" t="inlineStr">
        <is>
          <t>Uelton Sorvfoods</t>
        </is>
      </c>
      <c r="B196" s="25" t="inlineStr">
        <is>
          <t>+5519992916027</t>
        </is>
      </c>
      <c r="C196" s="20" t="inlineStr">
        <is>
          <t>Contato não cadastrado na empresa</t>
        </is>
      </c>
      <c r="D196" s="20" t="inlineStr">
        <is>
          <t>279 280 281 282</t>
        </is>
      </c>
      <c r="E196" s="20" t="inlineStr">
        <is>
          <t>SORVFOODS</t>
        </is>
      </c>
      <c r="F196" s="22" t="inlineStr">
        <is>
          <t>Inativo em 279 | Não cadastrado em 280, 281 e 282</t>
        </is>
      </c>
    </row>
    <row r="197">
      <c r="A197" s="20" t="inlineStr">
        <is>
          <t>Vaii Participações</t>
        </is>
      </c>
      <c r="B197" s="25" t="inlineStr">
        <is>
          <t>+5511991977308</t>
        </is>
      </c>
      <c r="C197" s="20" t="inlineStr">
        <is>
          <t>Contato não cadastrado na empresa</t>
        </is>
      </c>
      <c r="D197" s="20" t="n">
        <v>105</v>
      </c>
      <c r="E197" s="20" t="inlineStr">
        <is>
          <t>VAII</t>
        </is>
      </c>
      <c r="F197" s="22" t="inlineStr">
        <is>
          <t>Não existe nenhum usuario cadastrado na empresa</t>
        </is>
      </c>
    </row>
    <row r="198">
      <c r="A198" s="20" t="inlineStr">
        <is>
          <t>Valentim Real Frutas</t>
        </is>
      </c>
      <c r="B198" s="25" t="inlineStr">
        <is>
          <t>+5511970414748</t>
        </is>
      </c>
      <c r="C198" s="20" t="inlineStr">
        <is>
          <t>Contato não cadastrado na empresa</t>
        </is>
      </c>
      <c r="D198" s="20" t="n">
        <v>87</v>
      </c>
      <c r="E198" s="20" t="inlineStr">
        <is>
          <t>REAL FRUTAS</t>
        </is>
      </c>
    </row>
    <row r="199">
      <c r="A199" s="20" t="inlineStr">
        <is>
          <t>Valéria</t>
        </is>
      </c>
      <c r="B199" s="25" t="inlineStr">
        <is>
          <t>+551156423534</t>
        </is>
      </c>
      <c r="C199" s="20" t="inlineStr">
        <is>
          <t>Contato não cadastrado na empresa</t>
        </is>
      </c>
      <c r="D199" s="20" t="inlineStr">
        <is>
          <t>132 133 150 158</t>
        </is>
      </c>
      <c r="E199" s="20" t="inlineStr">
        <is>
          <t>RESTORE</t>
        </is>
      </c>
      <c r="F199" s="22" t="inlineStr">
        <is>
          <t>Contato referente a cliente RESTORE, não ficou claro se representa o grupo</t>
        </is>
      </c>
    </row>
    <row r="200">
      <c r="A200" s="20" t="inlineStr">
        <is>
          <t>Vanessa COMEX</t>
        </is>
      </c>
      <c r="B200" s="25" t="inlineStr">
        <is>
          <t>+5511984053157</t>
        </is>
      </c>
      <c r="C200" s="20" t="inlineStr">
        <is>
          <t>Contato não cadastrado na empresa</t>
        </is>
      </c>
      <c r="D200" s="20" t="n">
        <v>288</v>
      </c>
      <c r="E200" s="20" t="inlineStr">
        <is>
          <t>VANESSA COMEX</t>
        </is>
      </c>
    </row>
    <row r="201">
      <c r="A201" s="20" t="inlineStr">
        <is>
          <t>Veronice (Crossclean)</t>
        </is>
      </c>
      <c r="B201" s="25" t="inlineStr">
        <is>
          <t>+5511938003544</t>
        </is>
      </c>
      <c r="C201" s="20" t="inlineStr">
        <is>
          <t>Contato não cadastrado na empresa</t>
        </is>
      </c>
      <c r="D201" s="20" t="n">
        <v>309</v>
      </c>
      <c r="E201" s="20" t="inlineStr">
        <is>
          <t>CROSS</t>
        </is>
      </c>
    </row>
    <row r="202">
      <c r="A202" s="20" t="inlineStr">
        <is>
          <t>Victor</t>
        </is>
      </c>
      <c r="B202" s="25" t="inlineStr">
        <is>
          <t>+5545999381793</t>
        </is>
      </c>
      <c r="C202" s="20" t="inlineStr">
        <is>
          <t>Contato não cadastrado na empresa</t>
        </is>
      </c>
      <c r="D202" s="20" t="inlineStr">
        <is>
          <t>243 256 369</t>
        </is>
      </c>
      <c r="E202" s="20" t="inlineStr">
        <is>
          <t>BENVENUTI</t>
        </is>
      </c>
      <c r="F202" s="22" t="inlineStr">
        <is>
          <t>Victor tem dois números, o outro (+5545991020574) foi cadastrado</t>
        </is>
      </c>
    </row>
    <row r="203">
      <c r="A203" s="20" t="inlineStr">
        <is>
          <t>Vinícius Eltexs</t>
        </is>
      </c>
      <c r="B203" s="25" t="inlineStr">
        <is>
          <t>+5513974142870</t>
        </is>
      </c>
      <c r="C203" s="20" t="inlineStr">
        <is>
          <t>Contato não cadastrado na empresa</t>
        </is>
      </c>
      <c r="D203" s="20" t="inlineStr">
        <is>
          <t>332 337</t>
        </is>
      </c>
      <c r="E203" s="20" t="inlineStr">
        <is>
          <t>ELTEX'S</t>
        </is>
      </c>
    </row>
    <row r="204">
      <c r="A204" s="20" t="inlineStr">
        <is>
          <t>Viviane Vale (Financ Benvenuti)</t>
        </is>
      </c>
      <c r="B204" s="25" t="inlineStr">
        <is>
          <t>+5545999952538</t>
        </is>
      </c>
      <c r="C204" s="20" t="inlineStr">
        <is>
          <t>Contato não cadastrado na empresa</t>
        </is>
      </c>
      <c r="D204" s="20" t="inlineStr">
        <is>
          <t>243 256</t>
        </is>
      </c>
      <c r="E204" s="20" t="inlineStr">
        <is>
          <t>BENVENUTI</t>
        </is>
      </c>
    </row>
    <row r="205">
      <c r="A205" s="20" t="inlineStr">
        <is>
          <t>Wellington - STILUS</t>
        </is>
      </c>
      <c r="B205" s="25" t="inlineStr">
        <is>
          <t>+5516997558793</t>
        </is>
      </c>
      <c r="C205" s="20" t="inlineStr">
        <is>
          <t>Contato não cadastrado na empresa</t>
        </is>
      </c>
      <c r="D205" s="20" t="n">
        <v>168</v>
      </c>
      <c r="E205" s="20" t="inlineStr">
        <is>
          <t>STILUS</t>
        </is>
      </c>
    </row>
    <row r="206">
      <c r="A206" s="20" t="inlineStr">
        <is>
          <t>Wilson (Grupo OF)</t>
        </is>
      </c>
      <c r="B206" s="25" t="inlineStr">
        <is>
          <t>+5511997004387</t>
        </is>
      </c>
      <c r="C206" s="20" t="inlineStr">
        <is>
          <t>Contato não cadastrado na empresa</t>
        </is>
      </c>
      <c r="D206" s="20" t="inlineStr">
        <is>
          <t>177 178 179 180 181 182 183 184 185 186 187 188 189 190 191 192 193 194 195 196 197 198 199 200 201 202 203 211 216 220 221 222 254 255</t>
        </is>
      </c>
      <c r="E206" s="20" t="inlineStr">
        <is>
          <t>OFICIAL FARMA</t>
        </is>
      </c>
      <c r="F206" s="22" t="inlineStr">
        <is>
          <t>Não cadastrado na matriz (177), orientado a somente cadastrar na Matriz todos da JCF</t>
        </is>
      </c>
    </row>
    <row r="207">
      <c r="A207" s="20" t="inlineStr">
        <is>
          <t>Yass Santos</t>
        </is>
      </c>
      <c r="B207" s="25" t="inlineStr">
        <is>
          <t>+5511988086329</t>
        </is>
      </c>
      <c r="C207" s="20" t="inlineStr">
        <is>
          <t>Contato não cadastrado na empresa</t>
        </is>
      </c>
      <c r="D207" s="20" t="inlineStr">
        <is>
          <t>332 337</t>
        </is>
      </c>
      <c r="E207" s="20" t="inlineStr">
        <is>
          <t>ELTEX'S</t>
        </is>
      </c>
    </row>
    <row r="208">
      <c r="A208" s="20" t="inlineStr">
        <is>
          <t>Yuri Eltexs</t>
        </is>
      </c>
      <c r="B208" s="25" t="inlineStr">
        <is>
          <t>+5516981118211</t>
        </is>
      </c>
      <c r="C208" s="20" t="inlineStr">
        <is>
          <t>Contato não cadastrado na empresa</t>
        </is>
      </c>
      <c r="D208" s="20" t="inlineStr">
        <is>
          <t>332 337</t>
        </is>
      </c>
      <c r="E208" s="20" t="inlineStr">
        <is>
          <t>ELTEX'S</t>
        </is>
      </c>
    </row>
    <row r="209">
      <c r="A209" s="20" t="inlineStr">
        <is>
          <t>DRAKOS</t>
        </is>
      </c>
      <c r="B209" s="25" t="inlineStr">
        <is>
          <t>GRUPO</t>
        </is>
      </c>
      <c r="C209" s="20" t="inlineStr">
        <is>
          <t>GRUPO</t>
        </is>
      </c>
      <c r="E209" s="20" t="inlineStr">
        <is>
          <t>VAII</t>
        </is>
      </c>
    </row>
    <row r="210">
      <c r="A210" s="20" t="inlineStr">
        <is>
          <t>Eltexs e Taxbase</t>
        </is>
      </c>
      <c r="B210" s="25" t="inlineStr">
        <is>
          <t>GRUPO</t>
        </is>
      </c>
      <c r="C210" s="20" t="inlineStr">
        <is>
          <t>GRUPO</t>
        </is>
      </c>
      <c r="E210" s="20" t="inlineStr">
        <is>
          <t>ELTEX'S</t>
        </is>
      </c>
    </row>
    <row r="211">
      <c r="A211" s="20" t="inlineStr">
        <is>
          <t>Escola Realiza (Grupo)</t>
        </is>
      </c>
      <c r="B211" s="25" t="inlineStr">
        <is>
          <t>GRUPO</t>
        </is>
      </c>
      <c r="C211" s="20" t="inlineStr">
        <is>
          <t>GRUPO</t>
        </is>
      </c>
      <c r="E211" s="20" t="inlineStr">
        <is>
          <t>REALIZA</t>
        </is>
      </c>
    </row>
    <row r="212">
      <c r="A212" s="20" t="inlineStr">
        <is>
          <t>Fiscal Oficial Farma + Tax base</t>
        </is>
      </c>
      <c r="B212" s="25" t="inlineStr">
        <is>
          <t>GRUPO</t>
        </is>
      </c>
      <c r="C212" s="20" t="inlineStr">
        <is>
          <t>GRUPO</t>
        </is>
      </c>
      <c r="E212" s="20" t="inlineStr">
        <is>
          <t>OFICIAL FARMA</t>
        </is>
      </c>
    </row>
    <row r="213">
      <c r="A213" s="20" t="inlineStr">
        <is>
          <t>5511952289590</t>
        </is>
      </c>
      <c r="B213" s="25" t="inlineStr">
        <is>
          <t>+5511952289590</t>
        </is>
      </c>
      <c r="C213" s="20" t="inlineStr">
        <is>
          <t>IGNORAR</t>
        </is>
      </c>
      <c r="E213" s="20" t="inlineStr">
        <is>
          <t>IGNORAR</t>
        </is>
      </c>
    </row>
    <row r="214">
      <c r="A214" s="20" t="inlineStr">
        <is>
          <t>5511978030472</t>
        </is>
      </c>
      <c r="B214" s="25" t="inlineStr">
        <is>
          <t>+55 11 97803-0472</t>
        </is>
      </c>
      <c r="C214" s="20" t="inlineStr">
        <is>
          <t>IGNORAR</t>
        </is>
      </c>
      <c r="E214" s="20" t="inlineStr">
        <is>
          <t>IGNORAR</t>
        </is>
      </c>
    </row>
    <row r="215">
      <c r="A215" s="20" t="inlineStr">
        <is>
          <t>5514997179861</t>
        </is>
      </c>
      <c r="B215" s="25" t="inlineStr">
        <is>
          <t>+55 14 99717-9861</t>
        </is>
      </c>
      <c r="C215" s="20" t="inlineStr">
        <is>
          <t>IGNORAR</t>
        </is>
      </c>
      <c r="E215" s="20" t="inlineStr">
        <is>
          <t>IGNORAR</t>
        </is>
      </c>
    </row>
    <row r="216">
      <c r="A216" s="20" t="inlineStr">
        <is>
          <t xml:space="preserve">551938863028
</t>
        </is>
      </c>
      <c r="B216" s="25" t="inlineStr">
        <is>
          <t>+55 19 3886-3028</t>
        </is>
      </c>
      <c r="C216" s="20" t="inlineStr">
        <is>
          <t>IGNORAR</t>
        </is>
      </c>
      <c r="E216" s="20" t="inlineStr">
        <is>
          <t>IGNORAR</t>
        </is>
      </c>
    </row>
    <row r="217">
      <c r="A217" s="20" t="inlineStr">
        <is>
          <t xml:space="preserve">5545991333217
</t>
        </is>
      </c>
      <c r="B217" s="25" t="inlineStr">
        <is>
          <t>+55 45 99133-3217</t>
        </is>
      </c>
      <c r="C217" s="20" t="inlineStr">
        <is>
          <t>IGNORAR</t>
        </is>
      </c>
      <c r="E217" s="20" t="inlineStr">
        <is>
          <t>IGNORAR</t>
        </is>
      </c>
    </row>
    <row r="218">
      <c r="A218" s="20" t="inlineStr">
        <is>
          <t xml:space="preserve">555540072536
</t>
        </is>
      </c>
      <c r="B218" s="25" t="inlineStr">
        <is>
          <t>+55 55 4007-2536</t>
        </is>
      </c>
      <c r="C218" s="20" t="inlineStr">
        <is>
          <t>IGNORAR</t>
        </is>
      </c>
      <c r="E218" s="20" t="inlineStr">
        <is>
          <t>IGNORAR</t>
        </is>
      </c>
    </row>
    <row r="219">
      <c r="A219" s="20" t="inlineStr">
        <is>
          <t xml:space="preserve">5585988015939
</t>
        </is>
      </c>
      <c r="B219" s="25" t="inlineStr">
        <is>
          <t>+55 85 98801-5939</t>
        </is>
      </c>
      <c r="C219" s="20" t="inlineStr">
        <is>
          <t>IGNORAR</t>
        </is>
      </c>
      <c r="E219" s="20" t="inlineStr">
        <is>
          <t>IGNORAR</t>
        </is>
      </c>
    </row>
    <row r="220">
      <c r="A220" s="20" t="inlineStr">
        <is>
          <t>Ana Nunes</t>
        </is>
      </c>
      <c r="B220" s="25" t="inlineStr">
        <is>
          <t>+55 11 98834-3663</t>
        </is>
      </c>
      <c r="C220" s="20" t="inlineStr">
        <is>
          <t>IGNORAR</t>
        </is>
      </c>
      <c r="E220" s="20" t="inlineStr">
        <is>
          <t>IGNORAR</t>
        </is>
      </c>
      <c r="F220" s="22" t="inlineStr">
        <is>
          <t>Ex-Funcionaria TAXBASE</t>
        </is>
      </c>
    </row>
    <row r="221">
      <c r="A221" s="20" t="inlineStr">
        <is>
          <t>APAGAR</t>
        </is>
      </c>
      <c r="B221" s="25" t="inlineStr">
        <is>
          <t>+55 119743868889</t>
        </is>
      </c>
      <c r="C221" s="20" t="inlineStr">
        <is>
          <t>IGNORAR</t>
        </is>
      </c>
      <c r="E221" s="20" t="inlineStr">
        <is>
          <t>IGNORAR</t>
        </is>
      </c>
    </row>
    <row r="222">
      <c r="A222" s="20" t="inlineStr">
        <is>
          <t>apagar</t>
        </is>
      </c>
      <c r="B222" s="25" t="inlineStr">
        <is>
          <t>+55169992274051</t>
        </is>
      </c>
      <c r="C222" s="20" t="inlineStr">
        <is>
          <t>IGNORAR</t>
        </is>
      </c>
      <c r="E222" s="20" t="inlineStr">
        <is>
          <t>IGNORAR</t>
        </is>
      </c>
    </row>
    <row r="223">
      <c r="A223" s="20" t="inlineStr">
        <is>
          <t>Bianca Gonçalves</t>
        </is>
      </c>
      <c r="B223" s="25" t="inlineStr">
        <is>
          <t>+55 19 99121-9081</t>
        </is>
      </c>
      <c r="C223" s="20" t="inlineStr">
        <is>
          <t>IGNORAR</t>
        </is>
      </c>
      <c r="E223" s="20" t="inlineStr">
        <is>
          <t>IGNORAR</t>
        </is>
      </c>
      <c r="F223" s="22" t="inlineStr">
        <is>
          <t>Mensagem Promocional (SPAM)</t>
        </is>
      </c>
    </row>
    <row r="224">
      <c r="A224" s="20" t="inlineStr">
        <is>
          <t>Brooksfield Jr</t>
        </is>
      </c>
      <c r="B224" s="25" t="inlineStr">
        <is>
          <t>+55 11 99114-1912</t>
        </is>
      </c>
      <c r="C224" s="20" t="inlineStr">
        <is>
          <t>IGNORAR</t>
        </is>
      </c>
      <c r="E224" s="20" t="inlineStr">
        <is>
          <t>IGNORAR</t>
        </is>
      </c>
      <c r="F224" s="22" t="inlineStr">
        <is>
          <t>Mensagem Promocional (SPAM)</t>
        </is>
      </c>
    </row>
    <row r="225">
      <c r="A225" s="20" t="inlineStr">
        <is>
          <t>csouzavb</t>
        </is>
      </c>
      <c r="B225" s="25" t="inlineStr">
        <is>
          <t>+5511934733731</t>
        </is>
      </c>
      <c r="C225" s="20" t="inlineStr">
        <is>
          <t>IGNORAR</t>
        </is>
      </c>
      <c r="E225" s="20" t="inlineStr">
        <is>
          <t>IGNORAR</t>
        </is>
      </c>
      <c r="F225" s="22" t="inlineStr">
        <is>
          <t>Mensagem por engano</t>
        </is>
      </c>
    </row>
    <row r="226">
      <c r="A226" s="20" t="inlineStr">
        <is>
          <t>Dani</t>
        </is>
      </c>
      <c r="B226" s="25" t="inlineStr">
        <is>
          <t>+5511992981083</t>
        </is>
      </c>
      <c r="C226" s="20" t="inlineStr">
        <is>
          <t>IGNORAR</t>
        </is>
      </c>
      <c r="E226" s="20" t="inlineStr">
        <is>
          <t>IGNORAR</t>
        </is>
      </c>
    </row>
    <row r="227">
      <c r="A227" s="20" t="inlineStr">
        <is>
          <t>Danielly - Sicoob Pro</t>
        </is>
      </c>
      <c r="B227" s="25" t="inlineStr">
        <is>
          <t>+5516997833004</t>
        </is>
      </c>
      <c r="C227" s="20" t="inlineStr">
        <is>
          <t>IGNORAR</t>
        </is>
      </c>
      <c r="E227" s="20" t="inlineStr">
        <is>
          <t>IGNORAR</t>
        </is>
      </c>
      <c r="F227" s="22" t="inlineStr">
        <is>
          <t>Gerente do banco, entrou em contato referente ao Grupo Ecologica 1x</t>
        </is>
      </c>
    </row>
    <row r="228">
      <c r="A228" s="20" t="inlineStr">
        <is>
          <t>Estephany</t>
        </is>
      </c>
      <c r="B228" s="25" t="inlineStr">
        <is>
          <t>+5511976275861</t>
        </is>
      </c>
      <c r="C228" s="20" t="inlineStr">
        <is>
          <t>IGNORAR</t>
        </is>
      </c>
      <c r="E228" s="20" t="inlineStr">
        <is>
          <t>IGNORAR</t>
        </is>
      </c>
      <c r="F228" s="22" t="inlineStr">
        <is>
          <t>Entrou em contato referente ao grupo MY BAKER, mas não representa o grupo</t>
        </is>
      </c>
    </row>
    <row r="229">
      <c r="A229" s="20" t="inlineStr">
        <is>
          <t>Fernando Sistema</t>
        </is>
      </c>
      <c r="B229" s="25" t="inlineStr">
        <is>
          <t>+5511971421566</t>
        </is>
      </c>
      <c r="C229" s="20" t="inlineStr">
        <is>
          <t>IGNORAR</t>
        </is>
      </c>
      <c r="D229" s="20" t="n">
        <v>142</v>
      </c>
      <c r="E229" s="20" t="inlineStr">
        <is>
          <t>IGNORAR</t>
        </is>
      </c>
      <c r="F229" s="22" t="inlineStr">
        <is>
          <t>Contato referente a cliente em comum (142), sem andamento</t>
        </is>
      </c>
    </row>
    <row r="230">
      <c r="A230" s="20" t="inlineStr">
        <is>
          <t>FJA Seguros e planos de saúde.</t>
        </is>
      </c>
      <c r="B230" s="25" t="inlineStr">
        <is>
          <t>+5511946827849</t>
        </is>
      </c>
      <c r="C230" s="20" t="inlineStr">
        <is>
          <t>IGNORAR</t>
        </is>
      </c>
      <c r="E230" s="20" t="inlineStr">
        <is>
          <t>IGNORAR</t>
        </is>
      </c>
      <c r="F230" s="22" t="inlineStr">
        <is>
          <t>Mensagem Promocional (SPAM)</t>
        </is>
      </c>
    </row>
    <row r="231">
      <c r="A231" s="20" t="inlineStr">
        <is>
          <t>Hamilton - RJ</t>
        </is>
      </c>
      <c r="B231" s="25" t="inlineStr">
        <is>
          <t>+5521965533990</t>
        </is>
      </c>
      <c r="C231" s="20" t="inlineStr">
        <is>
          <t>IGNORAR</t>
        </is>
      </c>
      <c r="D231" s="20" t="inlineStr">
        <is>
          <t>223 224 225</t>
        </is>
      </c>
      <c r="E231" s="20" t="inlineStr">
        <is>
          <t>IGNORAR</t>
        </is>
      </c>
      <c r="F231" s="22" t="inlineStr">
        <is>
          <t>Foi iniciado contato com este a respeito do grupo SAFETYMED, mas não representa o grupo</t>
        </is>
      </c>
    </row>
    <row r="232">
      <c r="A232" s="20" t="inlineStr">
        <is>
          <t>Isabel</t>
        </is>
      </c>
      <c r="B232" s="25" t="inlineStr">
        <is>
          <t>+5511964482509</t>
        </is>
      </c>
      <c r="C232" s="20" t="inlineStr">
        <is>
          <t>IGNORAR</t>
        </is>
      </c>
      <c r="E232" s="20" t="inlineStr">
        <is>
          <t>IGNORAR</t>
        </is>
      </c>
    </row>
    <row r="233">
      <c r="A233" s="20" t="inlineStr">
        <is>
          <t>Julya Ribeiro</t>
        </is>
      </c>
      <c r="B233" s="25" t="inlineStr">
        <is>
          <t>+5511962976991</t>
        </is>
      </c>
      <c r="C233" s="20" t="inlineStr">
        <is>
          <t>IGNORAR</t>
        </is>
      </c>
      <c r="E233" s="20" t="inlineStr">
        <is>
          <t>IGNORAR</t>
        </is>
      </c>
      <c r="F233" s="22" t="inlineStr">
        <is>
          <t>Cliente do Luiz</t>
        </is>
      </c>
    </row>
    <row r="234">
      <c r="A234" s="20" t="inlineStr">
        <is>
          <t>Ma Tecnologias</t>
        </is>
      </c>
      <c r="B234" s="25" t="inlineStr">
        <is>
          <t>+5551995348054</t>
        </is>
      </c>
      <c r="C234" s="20" t="inlineStr">
        <is>
          <t>IGNORAR</t>
        </is>
      </c>
      <c r="E234" s="20" t="inlineStr">
        <is>
          <t>IGNORAR</t>
        </is>
      </c>
      <c r="F234" s="22" t="inlineStr">
        <is>
          <t>Mensagem Promocional (SPAM)</t>
        </is>
      </c>
    </row>
    <row r="235">
      <c r="A235" s="20" t="inlineStr">
        <is>
          <t>Não identificado</t>
        </is>
      </c>
      <c r="B235" s="25" t="inlineStr">
        <is>
          <t>+5511994132514</t>
        </is>
      </c>
      <c r="C235" s="20" t="inlineStr">
        <is>
          <t>IGNORAR</t>
        </is>
      </c>
      <c r="E235" s="20" t="inlineStr">
        <is>
          <t>IGNORAR</t>
        </is>
      </c>
    </row>
    <row r="236">
      <c r="A236" s="20" t="inlineStr">
        <is>
          <t>Não identificado</t>
        </is>
      </c>
      <c r="B236" s="25" t="inlineStr">
        <is>
          <t>+5511948191601</t>
        </is>
      </c>
      <c r="C236" s="20" t="inlineStr">
        <is>
          <t>IGNORAR</t>
        </is>
      </c>
      <c r="E236" s="20" t="inlineStr">
        <is>
          <t>IGNORAR</t>
        </is>
      </c>
    </row>
    <row r="237">
      <c r="A237" s="20" t="inlineStr">
        <is>
          <t>Nicole Admnistração</t>
        </is>
      </c>
      <c r="B237" s="25" t="inlineStr">
        <is>
          <t>+5551983522114</t>
        </is>
      </c>
      <c r="C237" s="20" t="inlineStr">
        <is>
          <t>IGNORAR</t>
        </is>
      </c>
      <c r="D237" s="20" t="n">
        <v>258</v>
      </c>
      <c r="E237" s="20" t="inlineStr">
        <is>
          <t>IGNORAR</t>
        </is>
      </c>
      <c r="F237" s="22" t="inlineStr">
        <is>
          <t>Número pessoal, solicitou que o contato fosse feito pelo 55 51 3034-6277 (Veterinária Bundchen)</t>
        </is>
      </c>
    </row>
    <row r="238">
      <c r="A238" s="20" t="inlineStr">
        <is>
          <t>Prefeitura Santos</t>
        </is>
      </c>
      <c r="B238" s="25" t="inlineStr">
        <is>
          <t>+5513996435630</t>
        </is>
      </c>
      <c r="C238" s="20" t="inlineStr">
        <is>
          <t>IGNORAR</t>
        </is>
      </c>
      <c r="E238" s="20" t="inlineStr">
        <is>
          <t>IGNORAR</t>
        </is>
      </c>
    </row>
    <row r="239">
      <c r="A239" s="20" t="inlineStr">
        <is>
          <t>Rafael Zanini</t>
        </is>
      </c>
      <c r="B239" s="25" t="inlineStr">
        <is>
          <t>+5511982413051</t>
        </is>
      </c>
      <c r="C239" s="20" t="inlineStr">
        <is>
          <t>IGNORAR</t>
        </is>
      </c>
      <c r="E239" s="20" t="inlineStr">
        <is>
          <t>IGNORAR</t>
        </is>
      </c>
    </row>
    <row r="240">
      <c r="A240" s="20" t="inlineStr">
        <is>
          <t>Roberta Silva</t>
        </is>
      </c>
      <c r="B240" s="25" t="inlineStr">
        <is>
          <t>+5511981481279</t>
        </is>
      </c>
      <c r="C240" s="20" t="inlineStr">
        <is>
          <t>IGNORAR</t>
        </is>
      </c>
      <c r="D240" s="20" t="inlineStr">
        <is>
          <t>205 206 209 210 361</t>
        </is>
      </c>
      <c r="E240" s="20" t="inlineStr">
        <is>
          <t>IGNORAR</t>
        </is>
      </c>
      <c r="F240" s="22" t="inlineStr">
        <is>
          <t>Contato referente a cliente em comum (Grupo MY BAKER), mas não representa o grupo</t>
        </is>
      </c>
    </row>
    <row r="241">
      <c r="A241" s="20" t="inlineStr">
        <is>
          <t>sicoob4374 pa26</t>
        </is>
      </c>
      <c r="B241" s="25" t="inlineStr">
        <is>
          <t>+5515981550339</t>
        </is>
      </c>
      <c r="C241" s="20" t="inlineStr">
        <is>
          <t>IGNORAR</t>
        </is>
      </c>
      <c r="D241" s="20" t="inlineStr">
        <is>
          <t>273 287</t>
        </is>
      </c>
      <c r="E241" s="20" t="inlineStr">
        <is>
          <t>IGNORAR</t>
        </is>
      </c>
      <c r="F241" s="22" t="inlineStr">
        <is>
          <t>Contato referente a cliente em comum (Studio Raniele), mas não representa o grupo</t>
        </is>
      </c>
    </row>
    <row r="242">
      <c r="A242" s="20" t="inlineStr">
        <is>
          <t>SIMPLESVET</t>
        </is>
      </c>
      <c r="B242" s="25" t="inlineStr">
        <is>
          <t>+551150439915</t>
        </is>
      </c>
      <c r="C242" s="20" t="inlineStr">
        <is>
          <t>IGNORAR</t>
        </is>
      </c>
      <c r="E242" s="20" t="inlineStr">
        <is>
          <t>IGNORAR</t>
        </is>
      </c>
    </row>
    <row r="243">
      <c r="A243" s="20" t="inlineStr">
        <is>
          <t>Sköll</t>
        </is>
      </c>
      <c r="B243" s="25" t="inlineStr">
        <is>
          <t>+5511999000189</t>
        </is>
      </c>
      <c r="C243" s="20" t="inlineStr">
        <is>
          <t>IGNORAR</t>
        </is>
      </c>
      <c r="E243" s="20" t="inlineStr">
        <is>
          <t>IGNORAR</t>
        </is>
      </c>
    </row>
    <row r="244">
      <c r="A244" s="20" t="inlineStr">
        <is>
          <t>Tayná Carina</t>
        </is>
      </c>
      <c r="B244" s="25" t="inlineStr">
        <is>
          <t>+5511960413819</t>
        </is>
      </c>
      <c r="C244" s="20" t="inlineStr">
        <is>
          <t>IGNORAR</t>
        </is>
      </c>
      <c r="E244" s="20" t="inlineStr">
        <is>
          <t>IGNORAR</t>
        </is>
      </c>
    </row>
    <row r="245">
      <c r="A245" s="20" t="inlineStr">
        <is>
          <t>Thiago C6 Bank</t>
        </is>
      </c>
      <c r="B245" s="25" t="inlineStr">
        <is>
          <t>+5541996936127</t>
        </is>
      </c>
      <c r="C245" s="20" t="inlineStr">
        <is>
          <t>IGNORAR</t>
        </is>
      </c>
      <c r="E245" s="20" t="inlineStr">
        <is>
          <t>IGNORAR</t>
        </is>
      </c>
      <c r="F245" s="22" t="inlineStr">
        <is>
          <t>Mensagem Promocional (SPAM)</t>
        </is>
      </c>
    </row>
    <row r="246">
      <c r="A246" s="20" t="inlineStr">
        <is>
          <t>Angela</t>
        </is>
      </c>
      <c r="B246" s="25" t="inlineStr">
        <is>
          <t>+55 11 98858-4907</t>
        </is>
      </c>
      <c r="C246" s="20" t="inlineStr">
        <is>
          <t>TAXBASE</t>
        </is>
      </c>
      <c r="D246" s="20" t="inlineStr">
        <is>
          <t>30 71</t>
        </is>
      </c>
      <c r="E246" s="20" t="inlineStr">
        <is>
          <t>TAXBASE INTERNO</t>
        </is>
      </c>
      <c r="G246" t="inlineStr">
        <is>
          <t>pejin44828@elafans.com</t>
        </is>
      </c>
    </row>
    <row r="247">
      <c r="A247" s="20" t="inlineStr">
        <is>
          <t>Cintia G</t>
        </is>
      </c>
      <c r="B247" s="25" t="inlineStr">
        <is>
          <t>+55 11 94041-2023</t>
        </is>
      </c>
      <c r="C247" s="20" t="inlineStr">
        <is>
          <t>TAXBASE</t>
        </is>
      </c>
      <c r="D247" s="20" t="inlineStr">
        <is>
          <t>30 71</t>
        </is>
      </c>
      <c r="E247" s="20" t="inlineStr">
        <is>
          <t>TAXBASE INTERNO</t>
        </is>
      </c>
    </row>
    <row r="248">
      <c r="A248" s="20" t="inlineStr">
        <is>
          <t>Dani (Taxbase)</t>
        </is>
      </c>
      <c r="B248" s="25" t="inlineStr">
        <is>
          <t>+5511930484228</t>
        </is>
      </c>
      <c r="C248" s="20" t="inlineStr">
        <is>
          <t>TAXBASE</t>
        </is>
      </c>
      <c r="D248" s="20" t="inlineStr">
        <is>
          <t>30 71</t>
        </is>
      </c>
      <c r="E248" s="20" t="inlineStr">
        <is>
          <t>TAXBASE INTERNO</t>
        </is>
      </c>
    </row>
    <row r="249">
      <c r="A249" s="20" t="inlineStr">
        <is>
          <t>Daniel</t>
        </is>
      </c>
      <c r="B249" s="25" t="inlineStr">
        <is>
          <t>+5511999712738</t>
        </is>
      </c>
      <c r="C249" s="20" t="inlineStr">
        <is>
          <t>TAXBASE</t>
        </is>
      </c>
      <c r="D249" s="20" t="inlineStr">
        <is>
          <t>30 71</t>
        </is>
      </c>
      <c r="E249" s="20" t="inlineStr">
        <is>
          <t>TAXBASE INTERNO</t>
        </is>
      </c>
    </row>
    <row r="250">
      <c r="A250" s="20" t="inlineStr">
        <is>
          <t>Felipe (TI)</t>
        </is>
      </c>
      <c r="B250" s="25" t="inlineStr">
        <is>
          <t>+5511990242106</t>
        </is>
      </c>
      <c r="C250" s="20" t="inlineStr">
        <is>
          <t>TAXBASE</t>
        </is>
      </c>
      <c r="D250" s="20" t="inlineStr">
        <is>
          <t>30 71</t>
        </is>
      </c>
      <c r="E250" s="20" t="inlineStr">
        <is>
          <t>TAXBASE INTERNO</t>
        </is>
      </c>
    </row>
    <row r="251">
      <c r="A251" s="20" t="inlineStr">
        <is>
          <t>Gisele (Taxbase)</t>
        </is>
      </c>
      <c r="B251" s="25" t="inlineStr">
        <is>
          <t>+5511940080938</t>
        </is>
      </c>
      <c r="C251" s="20" t="inlineStr">
        <is>
          <t>TAXBASE</t>
        </is>
      </c>
      <c r="D251" s="20" t="inlineStr">
        <is>
          <t>30 71</t>
        </is>
      </c>
      <c r="E251" s="20" t="inlineStr">
        <is>
          <t>TAXBASE INTERNO</t>
        </is>
      </c>
      <c r="G251" s="7" t="n"/>
    </row>
    <row r="252">
      <c r="A252" s="20" t="inlineStr">
        <is>
          <t>Guga Nunes</t>
        </is>
      </c>
      <c r="B252" s="25" t="inlineStr">
        <is>
          <t>+5511999730311</t>
        </is>
      </c>
      <c r="C252" s="20" t="inlineStr">
        <is>
          <t>TAXBASE</t>
        </is>
      </c>
      <c r="D252" s="20" t="inlineStr">
        <is>
          <t>30 71</t>
        </is>
      </c>
      <c r="E252" s="20" t="inlineStr">
        <is>
          <t>TAXBASE INTERNO</t>
        </is>
      </c>
    </row>
    <row r="253">
      <c r="A253" s="20" t="inlineStr">
        <is>
          <t>Luis Taxbase</t>
        </is>
      </c>
      <c r="B253" s="25" t="inlineStr">
        <is>
          <t>+5511948527919</t>
        </is>
      </c>
      <c r="C253" s="20" t="inlineStr">
        <is>
          <t>TAXBASE</t>
        </is>
      </c>
      <c r="D253" s="20" t="inlineStr">
        <is>
          <t>30 71</t>
        </is>
      </c>
      <c r="E253" s="20" t="inlineStr">
        <is>
          <t>TAXBASE INTERNO</t>
        </is>
      </c>
    </row>
    <row r="254">
      <c r="A254" s="20" t="inlineStr">
        <is>
          <t>Pam✨</t>
        </is>
      </c>
      <c r="B254" s="25" t="inlineStr">
        <is>
          <t>+5511997937906</t>
        </is>
      </c>
      <c r="C254" s="20" t="inlineStr">
        <is>
          <t>TAXBASE</t>
        </is>
      </c>
      <c r="D254" s="20" t="inlineStr">
        <is>
          <t>30 71</t>
        </is>
      </c>
      <c r="E254" s="20" t="inlineStr">
        <is>
          <t>TAXBASE INTERNO</t>
        </is>
      </c>
    </row>
    <row r="255">
      <c r="A255" s="20" t="inlineStr">
        <is>
          <t>Rafael Carvalho</t>
        </is>
      </c>
      <c r="B255" s="25" t="inlineStr">
        <is>
          <t>+5514997543715</t>
        </is>
      </c>
      <c r="C255" s="20" t="inlineStr">
        <is>
          <t>TAXBASE</t>
        </is>
      </c>
      <c r="D255" s="20" t="inlineStr">
        <is>
          <t>30 71</t>
        </is>
      </c>
      <c r="E255" s="20" t="inlineStr">
        <is>
          <t>TAXBASE INTERNO</t>
        </is>
      </c>
      <c r="G255" s="6" t="n"/>
    </row>
    <row r="256">
      <c r="A256" s="20" t="inlineStr">
        <is>
          <t>Renato Almeida</t>
        </is>
      </c>
      <c r="B256" s="25" t="inlineStr">
        <is>
          <t>+5511975632901</t>
        </is>
      </c>
      <c r="C256" s="20" t="inlineStr">
        <is>
          <t>TAXBASE</t>
        </is>
      </c>
      <c r="D256" s="20" t="inlineStr">
        <is>
          <t>30 71</t>
        </is>
      </c>
      <c r="E256" s="20" t="inlineStr">
        <is>
          <t>TAXBASE INTERNO</t>
        </is>
      </c>
    </row>
    <row r="257">
      <c r="A257" s="20" t="inlineStr">
        <is>
          <t>Teste Portal do Cliente</t>
        </is>
      </c>
      <c r="B257" s="25" t="inlineStr">
        <is>
          <t>+5511965805208</t>
        </is>
      </c>
      <c r="C257" s="20" t="inlineStr">
        <is>
          <t>TAXBASE</t>
        </is>
      </c>
      <c r="D257" s="20" t="inlineStr">
        <is>
          <t>30 71</t>
        </is>
      </c>
      <c r="E257" s="20" t="inlineStr">
        <is>
          <t>TAXBASE INTERNO</t>
        </is>
      </c>
    </row>
    <row r="258">
      <c r="A258" s="20" t="inlineStr">
        <is>
          <t>Bundchen Veterinária</t>
        </is>
      </c>
      <c r="B258" s="25" t="inlineStr">
        <is>
          <t>+55 51 3034-6277</t>
        </is>
      </c>
      <c r="C258" s="20" t="inlineStr">
        <is>
          <t>Temporario</t>
        </is>
      </c>
      <c r="D258" s="20" t="n">
        <v>258</v>
      </c>
      <c r="E258" s="20" t="inlineStr">
        <is>
          <t>BUNDCHEN VETERINARIA</t>
        </is>
      </c>
    </row>
    <row r="259">
      <c r="A259" s="20" t="inlineStr">
        <is>
          <t>Ana Lucia - SAFETYMED - PE</t>
        </is>
      </c>
      <c r="B259" s="25" t="inlineStr">
        <is>
          <t>+5581981113576</t>
        </is>
      </c>
      <c r="C259" s="20" t="inlineStr">
        <is>
          <t>Usuario inativo ou não registrado</t>
        </is>
      </c>
      <c r="D259" s="20" t="inlineStr">
        <is>
          <t>223 224 225</t>
        </is>
      </c>
      <c r="E259" s="20" t="inlineStr">
        <is>
          <t>SAFETYMED</t>
        </is>
      </c>
    </row>
    <row r="260">
      <c r="A260" s="20" t="inlineStr">
        <is>
          <t>Ana Terra - Cont Anterior</t>
        </is>
      </c>
      <c r="B260" s="25" t="inlineStr">
        <is>
          <t>+55 19 3737-2522</t>
        </is>
      </c>
      <c r="C260" s="20" t="inlineStr">
        <is>
          <t>Usuario inativo ou não registrado</t>
        </is>
      </c>
      <c r="D260" s="20" t="inlineStr">
        <is>
          <t>290 291 307</t>
        </is>
      </c>
      <c r="E260" s="20" t="inlineStr">
        <is>
          <t>ANNA TERRA</t>
        </is>
      </c>
    </row>
    <row r="261">
      <c r="A261" s="20" t="inlineStr">
        <is>
          <t>Andrea Gaoseg</t>
        </is>
      </c>
      <c r="B261" s="25" t="inlineStr">
        <is>
          <t>+55 14 99736-5761</t>
        </is>
      </c>
      <c r="C261" s="20" t="inlineStr">
        <is>
          <t>Usuario inativo ou não registrado</t>
        </is>
      </c>
      <c r="D261" s="20" t="inlineStr">
        <is>
          <t>319 320 322</t>
        </is>
      </c>
      <c r="E261" s="20" t="inlineStr">
        <is>
          <t>GAOSEG</t>
        </is>
      </c>
    </row>
    <row r="262">
      <c r="A262" s="20" t="inlineStr">
        <is>
          <t>Astro34 - Lucimar (compras)</t>
        </is>
      </c>
      <c r="B262" s="25" t="inlineStr">
        <is>
          <t>+55 11 94467-7687</t>
        </is>
      </c>
      <c r="C262" s="20" t="inlineStr">
        <is>
          <t>Usuario inativo ou não registrado</t>
        </is>
      </c>
      <c r="D262" s="20" t="inlineStr">
        <is>
          <t>301 302 312 313 314 315 316 317 318 331 352</t>
        </is>
      </c>
      <c r="E262" s="20" t="inlineStr">
        <is>
          <t>ASTRO</t>
        </is>
      </c>
    </row>
    <row r="263">
      <c r="A263" s="20" t="inlineStr">
        <is>
          <t>Barbara - Mentes Milionarias</t>
        </is>
      </c>
      <c r="B263" s="25" t="inlineStr">
        <is>
          <t>+55 11 94626-6575</t>
        </is>
      </c>
      <c r="C263" s="20" t="inlineStr">
        <is>
          <t>Usuario inativo ou não registrado</t>
        </is>
      </c>
      <c r="D263" s="20" t="inlineStr">
        <is>
          <t>238 240 244 247 249 250 251 252 253</t>
        </is>
      </c>
      <c r="E263" s="20" t="inlineStr">
        <is>
          <t>EVANDRO</t>
        </is>
      </c>
      <c r="F263" s="22" t="inlineStr">
        <is>
          <t>Não cadastrado em nenhuma das empresas do grupo evandro</t>
        </is>
      </c>
    </row>
    <row r="264">
      <c r="A264" s="20" t="inlineStr">
        <is>
          <t>Barbara - Mentes Milionárias</t>
        </is>
      </c>
      <c r="B264" s="25" t="inlineStr">
        <is>
          <t>+55 11 94626-6575</t>
        </is>
      </c>
      <c r="C264" s="20" t="inlineStr">
        <is>
          <t>Usuario inativo ou não registrado</t>
        </is>
      </c>
      <c r="D264" s="20" t="inlineStr">
        <is>
          <t>238 240 244 247 249 250 251 252 253</t>
        </is>
      </c>
      <c r="E264" s="20" t="inlineStr">
        <is>
          <t>EVANDRO</t>
        </is>
      </c>
    </row>
    <row r="265">
      <c r="A265" s="20" t="inlineStr">
        <is>
          <t xml:space="preserve">Bruno - financeiro ELTEXS
</t>
        </is>
      </c>
      <c r="B265" s="25" t="inlineStr">
        <is>
          <t>+55 13 97403-6168</t>
        </is>
      </c>
      <c r="C265" s="20" t="inlineStr">
        <is>
          <t>Usuario inativo ou não registrado</t>
        </is>
      </c>
      <c r="D265" s="20" t="inlineStr">
        <is>
          <t>332 337</t>
        </is>
      </c>
      <c r="E265" s="20" t="inlineStr">
        <is>
          <t>ELTEX'S</t>
        </is>
      </c>
    </row>
    <row r="266">
      <c r="A266" s="20" t="inlineStr">
        <is>
          <t>CMSI - Henrique Cesar</t>
        </is>
      </c>
      <c r="B266" s="25" t="inlineStr">
        <is>
          <t>+55 16 99732-4538</t>
        </is>
      </c>
      <c r="C266" s="20" t="inlineStr">
        <is>
          <t>Usuario inativo ou não registrado</t>
        </is>
      </c>
      <c r="D266" s="20" t="n">
        <v>214</v>
      </c>
      <c r="E266" s="20" t="inlineStr">
        <is>
          <t>CORELMAQ</t>
        </is>
      </c>
    </row>
    <row r="267">
      <c r="A267" s="20" t="inlineStr">
        <is>
          <t>Cristina (Xalé Grill)</t>
        </is>
      </c>
      <c r="B267" s="25" t="inlineStr">
        <is>
          <t>+5524998119472</t>
        </is>
      </c>
      <c r="C267" s="20" t="inlineStr">
        <is>
          <t>Usuario inativo ou não registrado</t>
        </is>
      </c>
      <c r="D267" s="20" t="n">
        <v>267</v>
      </c>
      <c r="E267" s="20" t="inlineStr">
        <is>
          <t>CORELMAQ</t>
        </is>
      </c>
    </row>
    <row r="268">
      <c r="A268" s="20" t="inlineStr">
        <is>
          <t>Diego NFE Rosela</t>
        </is>
      </c>
      <c r="B268" s="25" t="inlineStr">
        <is>
          <t>+5513996539078</t>
        </is>
      </c>
      <c r="C268" s="20" t="inlineStr">
        <is>
          <t>Usuario inativo ou não registrado</t>
        </is>
      </c>
      <c r="D268" s="20" t="n">
        <v>237</v>
      </c>
      <c r="E268" s="20" t="inlineStr">
        <is>
          <t>ROSELA</t>
        </is>
      </c>
    </row>
    <row r="269">
      <c r="A269" s="20" t="inlineStr">
        <is>
          <t>Eber - Sistema da Baker</t>
        </is>
      </c>
      <c r="B269" s="25" t="inlineStr">
        <is>
          <t>+5511994912148</t>
        </is>
      </c>
      <c r="C269" s="20" t="inlineStr">
        <is>
          <t>Usuario inativo ou não registrado</t>
        </is>
      </c>
      <c r="D269" s="20" t="inlineStr">
        <is>
          <t>205 206 209 210 361</t>
        </is>
      </c>
      <c r="E269" s="20" t="inlineStr">
        <is>
          <t>MY BAKER</t>
        </is>
      </c>
    </row>
    <row r="270">
      <c r="A270" s="20" t="inlineStr">
        <is>
          <t>Fabio (Movare)</t>
        </is>
      </c>
      <c r="B270" s="25" t="inlineStr">
        <is>
          <t>+5518997513593</t>
        </is>
      </c>
      <c r="C270" s="20" t="inlineStr">
        <is>
          <t>Usuario inativo ou não registrado</t>
        </is>
      </c>
      <c r="D270" s="20" t="inlineStr">
        <is>
          <t>207 208</t>
        </is>
      </c>
      <c r="E270" s="20" t="inlineStr">
        <is>
          <t>MOVARE</t>
        </is>
      </c>
    </row>
    <row r="271">
      <c r="A271" s="20" t="inlineStr">
        <is>
          <t>Geovana - Enfase</t>
        </is>
      </c>
      <c r="B271" s="25" t="inlineStr">
        <is>
          <t>+5516992182303</t>
        </is>
      </c>
      <c r="C271" s="20" t="inlineStr">
        <is>
          <t>Usuario inativo ou não registrado</t>
        </is>
      </c>
      <c r="D271" s="20" t="n">
        <v>125</v>
      </c>
      <c r="E271" s="20" t="inlineStr">
        <is>
          <t>STILUS</t>
        </is>
      </c>
    </row>
    <row r="272">
      <c r="A272" s="20" t="inlineStr">
        <is>
          <t>Guilherme - GH FONTES</t>
        </is>
      </c>
      <c r="B272" s="25" t="inlineStr">
        <is>
          <t>+5519995643593</t>
        </is>
      </c>
      <c r="C272" s="20" t="inlineStr">
        <is>
          <t>Usuario inativo ou não registrado</t>
        </is>
      </c>
      <c r="D272" s="20" t="n">
        <v>204</v>
      </c>
      <c r="E272" s="20" t="inlineStr">
        <is>
          <t>PJ OF</t>
        </is>
      </c>
    </row>
    <row r="273">
      <c r="A273" s="20" t="inlineStr">
        <is>
          <t>Karina (Grupo TJ Transportes)</t>
        </is>
      </c>
      <c r="B273" s="25" t="inlineStr">
        <is>
          <t>+5511977561015</t>
        </is>
      </c>
      <c r="C273" s="20" t="inlineStr">
        <is>
          <t>Usuario inativo ou não registrado</t>
        </is>
      </c>
      <c r="D273" s="20" t="n">
        <v>143</v>
      </c>
      <c r="E273" s="20" t="inlineStr">
        <is>
          <t>JT</t>
        </is>
      </c>
    </row>
    <row r="274">
      <c r="A274" s="20" t="inlineStr">
        <is>
          <t>Kassia (GLOBAL JET)</t>
        </is>
      </c>
      <c r="B274" s="25" t="inlineStr">
        <is>
          <t>+5511973646928</t>
        </is>
      </c>
      <c r="C274" s="20" t="inlineStr">
        <is>
          <t>Usuario inativo ou não registrado</t>
        </is>
      </c>
      <c r="D274" s="20" t="inlineStr">
        <is>
          <t>354 355</t>
        </is>
      </c>
      <c r="E274" s="20" t="inlineStr">
        <is>
          <t>GLOBAL</t>
        </is>
      </c>
    </row>
    <row r="275">
      <c r="A275" s="20" t="inlineStr">
        <is>
          <t>Patrícia (Astro 34)</t>
        </is>
      </c>
      <c r="B275" s="25" t="inlineStr">
        <is>
          <t>+5511960570644</t>
        </is>
      </c>
      <c r="C275" s="20" t="inlineStr">
        <is>
          <t>Usuario inativo ou não registrado</t>
        </is>
      </c>
      <c r="D275" s="20" t="inlineStr">
        <is>
          <t>301 302 312 313 314 315 316 317 318 331 352</t>
        </is>
      </c>
      <c r="E275" s="20" t="inlineStr">
        <is>
          <t>ASTRO</t>
        </is>
      </c>
    </row>
    <row r="276">
      <c r="A276" s="20" t="inlineStr">
        <is>
          <t>Raniele (Studio Raniele)</t>
        </is>
      </c>
      <c r="B276" s="25" t="inlineStr">
        <is>
          <t>+5515998340561</t>
        </is>
      </c>
      <c r="C276" s="20" t="inlineStr">
        <is>
          <t>Usuario inativo ou não registrado</t>
        </is>
      </c>
      <c r="D276" s="20" t="inlineStr">
        <is>
          <t>273 287</t>
        </is>
      </c>
      <c r="E276" s="20" t="inlineStr">
        <is>
          <t>STUDIO RANIELE</t>
        </is>
      </c>
    </row>
    <row r="277">
      <c r="A277" s="20" t="inlineStr">
        <is>
          <t>Samir (Xalé Grill)</t>
        </is>
      </c>
      <c r="B277" s="25" t="inlineStr">
        <is>
          <t>+5524992321402</t>
        </is>
      </c>
      <c r="C277" s="20" t="inlineStr">
        <is>
          <t>Usuario inativo ou não registrado</t>
        </is>
      </c>
      <c r="D277" s="20" t="n">
        <v>267</v>
      </c>
      <c r="E277" s="20" t="inlineStr">
        <is>
          <t>XALE GRILL</t>
        </is>
      </c>
    </row>
    <row r="278">
      <c r="A278" s="20" t="inlineStr">
        <is>
          <t>Severino - Fuentes</t>
        </is>
      </c>
      <c r="B278" s="25" t="inlineStr">
        <is>
          <t>+5511948057704</t>
        </is>
      </c>
      <c r="C278" s="20" t="inlineStr">
        <is>
          <t>Usuario inativo ou não registrado</t>
        </is>
      </c>
      <c r="D278" s="20" t="n">
        <v>160</v>
      </c>
      <c r="E278" s="20" t="inlineStr">
        <is>
          <t>FUENTES</t>
        </is>
      </c>
    </row>
    <row r="279">
      <c r="A279" s="20" t="inlineStr">
        <is>
          <t>Talita (GPG Construtora)</t>
        </is>
      </c>
      <c r="B279" s="25" t="inlineStr">
        <is>
          <t>+5511950221654</t>
        </is>
      </c>
      <c r="C279" s="20" t="inlineStr">
        <is>
          <t>Usuario inativo ou não registrado</t>
        </is>
      </c>
      <c r="D279" s="20" t="n">
        <v>278</v>
      </c>
      <c r="E279" s="20" t="inlineStr">
        <is>
          <t>GPG</t>
        </is>
      </c>
    </row>
    <row r="280">
      <c r="A280" s="20" t="inlineStr">
        <is>
          <t>Vanessa BC</t>
        </is>
      </c>
      <c r="B280" s="25" t="inlineStr">
        <is>
          <t>+5511963628467</t>
        </is>
      </c>
      <c r="C280" s="20" t="inlineStr">
        <is>
          <t>Usuario inativo ou não registrado</t>
        </is>
      </c>
      <c r="D280" s="20" t="inlineStr">
        <is>
          <t>1 2 88</t>
        </is>
      </c>
      <c r="E280" s="20" t="inlineStr">
        <is>
          <t>BC</t>
        </is>
      </c>
    </row>
    <row r="281">
      <c r="A281" s="2" t="inlineStr">
        <is>
          <t>José Carlos  ( contab. anterior TECHPOSTO)</t>
        </is>
      </c>
      <c r="B281" s="25" t="inlineStr">
        <is>
          <t>551139669783</t>
        </is>
      </c>
      <c r="C281" s="20" t="inlineStr">
        <is>
          <t>Contato não cadastrado na empresa</t>
        </is>
      </c>
      <c r="D281" s="20" t="inlineStr">
        <is>
          <t>161 162 163</t>
        </is>
      </c>
      <c r="E281" s="20" t="inlineStr">
        <is>
          <t>TECHPOSTO</t>
        </is>
      </c>
    </row>
    <row r="282">
      <c r="A282" s="20" t="inlineStr">
        <is>
          <t>FELIPE REIS</t>
        </is>
      </c>
      <c r="B282" s="25" t="inlineStr">
        <is>
          <t>5518996414465</t>
        </is>
      </c>
      <c r="C282" s="20" t="inlineStr">
        <is>
          <t>Contato não cadastrado na empresa</t>
        </is>
      </c>
      <c r="E282" s="20" t="inlineStr">
        <is>
          <t>FELIPE REIS</t>
        </is>
      </c>
    </row>
    <row r="283">
      <c r="A283" s="20" t="inlineStr">
        <is>
          <t>Renata Alencar - ABAMULTI e ABA KIDS</t>
        </is>
      </c>
      <c r="B283" s="25" t="inlineStr">
        <is>
          <t>+5511973046565</t>
        </is>
      </c>
      <c r="C283" s="20" t="inlineStr">
        <is>
          <t>Contato não cadastrado na empresa</t>
        </is>
      </c>
      <c r="E283" s="20" t="inlineStr">
        <is>
          <t>ABAMULTI</t>
        </is>
      </c>
    </row>
    <row r="284">
      <c r="A284" s="2" t="inlineStr">
        <is>
          <t>MICHEL (KENAI)</t>
        </is>
      </c>
      <c r="B284" s="25" t="inlineStr">
        <is>
          <t>5511964020113</t>
        </is>
      </c>
      <c r="C284" s="20" t="inlineStr">
        <is>
          <t>Contato não cadastrado na empresa</t>
        </is>
      </c>
      <c r="E284" s="2" t="inlineStr">
        <is>
          <t>KENAI</t>
        </is>
      </c>
    </row>
    <row r="285">
      <c r="A285" s="2" t="inlineStr">
        <is>
          <t>RAFAEL CHAIM (KENAI)</t>
        </is>
      </c>
      <c r="B285" s="25" t="inlineStr">
        <is>
          <t>5511982992842</t>
        </is>
      </c>
      <c r="C285" s="20" t="inlineStr">
        <is>
          <t>Contato não cadastrado na empresa</t>
        </is>
      </c>
      <c r="E285" s="2" t="inlineStr">
        <is>
          <t>KENAI</t>
        </is>
      </c>
    </row>
    <row r="286">
      <c r="A286" s="2" t="inlineStr">
        <is>
          <t>RENATO CROSS CLEAN</t>
        </is>
      </c>
      <c r="B286" s="25" t="inlineStr">
        <is>
          <t>5511999461067</t>
        </is>
      </c>
      <c r="C286" s="20" t="inlineStr">
        <is>
          <t>Contato não cadastrado na empresa</t>
        </is>
      </c>
      <c r="E286" s="2" t="inlineStr">
        <is>
          <t>CROSS</t>
        </is>
      </c>
    </row>
    <row r="287">
      <c r="A287" t="inlineStr">
        <is>
          <t>COMERCIAL MY BAKER</t>
        </is>
      </c>
      <c r="E287" t="inlineStr">
        <is>
          <t>MY BAKER</t>
        </is>
      </c>
    </row>
    <row r="288">
      <c r="A288" t="inlineStr">
        <is>
          <t>COMERCIAL MY BAKER</t>
        </is>
      </c>
      <c r="E288" t="inlineStr">
        <is>
          <t>MY BAKER</t>
        </is>
      </c>
    </row>
    <row r="289">
      <c r="A289" t="inlineStr">
        <is>
          <t>COMERCIAL MY BAKER</t>
        </is>
      </c>
      <c r="E289" t="inlineStr">
        <is>
          <t>MY BAKER</t>
        </is>
      </c>
    </row>
    <row r="290">
      <c r="A290" t="inlineStr">
        <is>
          <t>COMERCIAL MY BAKER</t>
        </is>
      </c>
      <c r="E290" t="inlineStr">
        <is>
          <t>MY BAKER</t>
        </is>
      </c>
    </row>
    <row r="291">
      <c r="A291" t="inlineStr">
        <is>
          <t>COMERCIAL MY BAKER</t>
        </is>
      </c>
      <c r="E291" t="inlineStr">
        <is>
          <t>MY BAKER</t>
        </is>
      </c>
    </row>
    <row r="292">
      <c r="A292" t="inlineStr">
        <is>
          <t>COMERCIAL MY BAKER</t>
        </is>
      </c>
      <c r="E292" t="inlineStr">
        <is>
          <t>MY BAKER</t>
        </is>
      </c>
    </row>
    <row r="293">
      <c r="A293" t="inlineStr">
        <is>
          <t>COMERCIAL MY BAKER</t>
        </is>
      </c>
      <c r="E293" t="inlineStr">
        <is>
          <t>MY BAKER</t>
        </is>
      </c>
    </row>
    <row r="294">
      <c r="A294" t="inlineStr">
        <is>
          <t>COMERCIAL MY BAKER</t>
        </is>
      </c>
      <c r="E294" t="inlineStr">
        <is>
          <t>MY BAKER</t>
        </is>
      </c>
    </row>
  </sheetData>
  <autoFilter ref="A1:G267">
    <sortState ref="A2:G267">
      <sortCondition ref="C1:C267"/>
    </sortState>
  </autoFilter>
  <conditionalFormatting sqref="A2:C1048576">
    <cfRule type="expression" priority="1" dxfId="4">
      <formula>$C2="TAXBASE"</formula>
    </cfRule>
    <cfRule type="expression" priority="2" dxfId="3">
      <formula>$C2="Contato não cadastrado na empresa"</formula>
    </cfRule>
    <cfRule type="expression" priority="3" dxfId="2">
      <formula>$C2="Cliente não identificado"</formula>
    </cfRule>
    <cfRule type="expression" priority="4" dxfId="1">
      <formula>$C2="Usuario inativo ou não registrado"</formula>
    </cfRule>
    <cfRule type="expression" priority="5" dxfId="0">
      <formula>$C2="Cadastrado"</formula>
    </cfRule>
  </conditionalFormatting>
  <pageMargins left="0.511811024" right="0.511811024" top="0.787401575" bottom="0.787401575" header="0.31496062" footer="0.31496062"/>
</worksheet>
</file>

<file path=xl/worksheets/sheet2.xml><?xml version="1.0" encoding="utf-8"?>
<worksheet xmlns="http://schemas.openxmlformats.org/spreadsheetml/2006/main">
  <sheetPr>
    <outlinePr summaryBelow="1" summaryRight="1"/>
    <pageSetUpPr/>
  </sheetPr>
  <dimension ref="A1:J30"/>
  <sheetViews>
    <sheetView workbookViewId="0">
      <selection activeCell="F30" sqref="F30:J30"/>
    </sheetView>
  </sheetViews>
  <sheetFormatPr baseColWidth="8" defaultRowHeight="15"/>
  <cols>
    <col width="27.42578125" bestFit="1" customWidth="1" style="17" min="5" max="5"/>
    <col width="17.28515625" bestFit="1" customWidth="1" style="17" min="6" max="6"/>
  </cols>
  <sheetData>
    <row r="1">
      <c r="A1" t="inlineStr">
        <is>
          <t>ID Cliente</t>
        </is>
      </c>
      <c r="E1" t="inlineStr">
        <is>
          <t>Nome</t>
        </is>
      </c>
      <c r="F1" t="inlineStr">
        <is>
          <t>Telefone</t>
        </is>
      </c>
      <c r="G1" t="inlineStr">
        <is>
          <t>Status</t>
        </is>
      </c>
    </row>
    <row r="2" ht="15.75" customHeight="1" s="17">
      <c r="A2" t="n">
        <v>238</v>
      </c>
      <c r="B2" t="inlineStr">
        <is>
          <t>MENTES MILIONARIAS</t>
        </is>
      </c>
      <c r="C2" s="3" t="inlineStr">
        <is>
          <t>✔️</t>
        </is>
      </c>
      <c r="E2" s="1" t="inlineStr">
        <is>
          <t>Amanda - Mentes Milionarias</t>
        </is>
      </c>
      <c r="F2" s="1" t="inlineStr">
        <is>
          <t xml:space="preserve"> +55 11 96279-2313</t>
        </is>
      </c>
      <c r="G2" t="n">
        <v>238</v>
      </c>
      <c r="H2" s="3" t="inlineStr">
        <is>
          <t>✔️</t>
        </is>
      </c>
      <c r="I2" t="inlineStr">
        <is>
          <t>240 244 247 249 250 251 252 253</t>
        </is>
      </c>
    </row>
    <row r="3" ht="15.75" customHeight="1" s="17">
      <c r="A3" t="n">
        <v>240</v>
      </c>
      <c r="C3" s="3" t="inlineStr">
        <is>
          <t>✔️</t>
        </is>
      </c>
      <c r="E3" s="1" t="inlineStr">
        <is>
          <t>Barbara - Mentes Milionarias</t>
        </is>
      </c>
      <c r="F3" s="1" t="inlineStr">
        <is>
          <t>+55 11 94626-6575</t>
        </is>
      </c>
      <c r="H3" s="3" t="inlineStr">
        <is>
          <t>✔️</t>
        </is>
      </c>
      <c r="I3" t="inlineStr">
        <is>
          <t>238 240 244 247 249 250 251 252 253</t>
        </is>
      </c>
    </row>
    <row r="4" ht="15.75" customHeight="1" s="17">
      <c r="A4" t="n">
        <v>244</v>
      </c>
      <c r="C4" s="3" t="inlineStr">
        <is>
          <t>✔️</t>
        </is>
      </c>
      <c r="E4" t="inlineStr">
        <is>
          <t>Mariana - Mentes Milionarias</t>
        </is>
      </c>
      <c r="F4" s="1" t="inlineStr">
        <is>
          <t>+5535988719245</t>
        </is>
      </c>
      <c r="G4" t="n">
        <v>238</v>
      </c>
      <c r="H4" s="3" t="inlineStr">
        <is>
          <t>✔️</t>
        </is>
      </c>
      <c r="I4" t="inlineStr">
        <is>
          <t>240 244 247 249 250 251 252 253</t>
        </is>
      </c>
    </row>
    <row r="5" ht="15.75" customHeight="1" s="17">
      <c r="A5" t="n">
        <v>247</v>
      </c>
      <c r="C5" s="3" t="inlineStr">
        <is>
          <t>✔️</t>
        </is>
      </c>
      <c r="E5" t="inlineStr">
        <is>
          <t>Geovanna - Grupo Evandro</t>
        </is>
      </c>
      <c r="F5" s="1" t="inlineStr">
        <is>
          <t>+5511963148096</t>
        </is>
      </c>
      <c r="G5" t="inlineStr">
        <is>
          <t>238 240 244 247 249 250 251 252 253</t>
        </is>
      </c>
      <c r="H5" s="3" t="inlineStr">
        <is>
          <t>✔️</t>
        </is>
      </c>
    </row>
    <row r="6" ht="15.75" customHeight="1" s="17">
      <c r="A6" t="n">
        <v>249</v>
      </c>
      <c r="C6" s="3" t="inlineStr">
        <is>
          <t>✔️</t>
        </is>
      </c>
      <c r="E6" t="inlineStr">
        <is>
          <t>Tatiana - Grupo Evandro</t>
        </is>
      </c>
      <c r="F6" s="1" t="inlineStr">
        <is>
          <t>+5545988169540</t>
        </is>
      </c>
      <c r="G6" t="inlineStr">
        <is>
          <t>240 244 247 249 250 251 252 253</t>
        </is>
      </c>
      <c r="H6" s="3" t="inlineStr">
        <is>
          <t>✔️</t>
        </is>
      </c>
      <c r="I6" t="n">
        <v>238</v>
      </c>
    </row>
    <row r="7" ht="15.75" customHeight="1" s="17">
      <c r="A7" t="n">
        <v>250</v>
      </c>
      <c r="C7" s="3" t="inlineStr">
        <is>
          <t>✔️</t>
        </is>
      </c>
      <c r="E7" s="13" t="inlineStr">
        <is>
          <t>Apthus Cont. antiga do Grupo EVANDRO</t>
        </is>
      </c>
      <c r="F7" s="1" t="inlineStr">
        <is>
          <t>+55 45 99133-5888</t>
        </is>
      </c>
      <c r="G7" t="inlineStr">
        <is>
          <t>não cadastrado</t>
        </is>
      </c>
    </row>
    <row r="8" ht="15.75" customHeight="1" s="17">
      <c r="A8" t="n">
        <v>251</v>
      </c>
      <c r="C8" s="3" t="inlineStr">
        <is>
          <t>✔️</t>
        </is>
      </c>
      <c r="E8" s="13" t="inlineStr">
        <is>
          <t>Juliana PF OF</t>
        </is>
      </c>
      <c r="F8" s="1" t="inlineStr">
        <is>
          <t>+5511993646363</t>
        </is>
      </c>
      <c r="G8" t="inlineStr">
        <is>
          <t>não cadastrado</t>
        </is>
      </c>
    </row>
    <row r="9" ht="15.75" customHeight="1" s="17">
      <c r="A9" t="n">
        <v>252</v>
      </c>
      <c r="C9" s="3" t="inlineStr">
        <is>
          <t>✔️</t>
        </is>
      </c>
    </row>
    <row r="10" ht="15.75" customHeight="1" s="17">
      <c r="A10" t="n">
        <v>253</v>
      </c>
      <c r="C10" s="3" t="inlineStr">
        <is>
          <t>✔️</t>
        </is>
      </c>
    </row>
    <row r="12">
      <c r="A12" t="inlineStr">
        <is>
          <t>238 240 244 247 249 250 251 252 253</t>
        </is>
      </c>
    </row>
    <row r="30">
      <c r="F30" s="20" t="n"/>
      <c r="G30" s="20" t="n"/>
      <c r="H30" s="20" t="n"/>
      <c r="I30" s="20" t="n"/>
      <c r="J30" s="20" t="n"/>
    </row>
  </sheetData>
  <conditionalFormatting sqref="E7:F8">
    <cfRule type="expression" priority="6" dxfId="4">
      <formula>$C7="TAXBASE"</formula>
    </cfRule>
    <cfRule type="expression" priority="7" dxfId="3">
      <formula>$C7="Contato não cadastrado na empresa"</formula>
    </cfRule>
    <cfRule type="expression" priority="8" dxfId="2">
      <formula>$C7="Cliente não identificado"</formula>
    </cfRule>
    <cfRule type="expression" priority="9" dxfId="1">
      <formula>$C7="Usuario inativo ou não registrado"</formula>
    </cfRule>
    <cfRule type="expression" priority="10" dxfId="0">
      <formula>$C7="Cadastrado"</formula>
    </cfRule>
  </conditionalFormatting>
  <conditionalFormatting sqref="F30:H30">
    <cfRule type="expression" priority="1" dxfId="4">
      <formula>$C30="TAXBASE"</formula>
    </cfRule>
    <cfRule type="expression" priority="2" dxfId="3">
      <formula>$C30="Contato não cadastrado na empresa"</formula>
    </cfRule>
    <cfRule type="expression" priority="3" dxfId="2">
      <formula>$C30="Cliente não identificado"</formula>
    </cfRule>
    <cfRule type="expression" priority="4" dxfId="1">
      <formula>$C30="Usuario inativo ou não registrado"</formula>
    </cfRule>
    <cfRule type="expression" priority="5" dxfId="0">
      <formula>$C30="Cadastrado"</formula>
    </cfRule>
  </conditionalFormatting>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G14"/>
  <sheetViews>
    <sheetView workbookViewId="0">
      <selection activeCell="A14" sqref="A14"/>
    </sheetView>
  </sheetViews>
  <sheetFormatPr baseColWidth="8" defaultRowHeight="15"/>
  <cols>
    <col width="22.85546875" bestFit="1" customWidth="1" style="17" min="5" max="5"/>
    <col width="15.140625" bestFit="1" customWidth="1" style="4" min="6" max="6"/>
  </cols>
  <sheetData>
    <row r="1" ht="15.75" customHeight="1" s="17">
      <c r="A1" t="inlineStr">
        <is>
          <t>ID Cliente</t>
        </is>
      </c>
      <c r="E1" t="inlineStr">
        <is>
          <t>Nome</t>
        </is>
      </c>
      <c r="F1" s="4" t="inlineStr">
        <is>
          <t>Telefone</t>
        </is>
      </c>
      <c r="G1" s="3" t="n"/>
    </row>
    <row r="2" ht="15.75" customHeight="1" s="17">
      <c r="A2" t="n">
        <v>7</v>
      </c>
      <c r="C2" s="3" t="inlineStr">
        <is>
          <t>✔️</t>
        </is>
      </c>
      <c r="E2" t="inlineStr">
        <is>
          <t>Clovis OF</t>
        </is>
      </c>
      <c r="F2" s="4" t="inlineStr">
        <is>
          <t>+5511976163753</t>
        </is>
      </c>
      <c r="G2" s="3" t="inlineStr">
        <is>
          <t>✔️</t>
        </is>
      </c>
    </row>
    <row r="3" ht="15.75" customHeight="1" s="17">
      <c r="A3" t="n">
        <v>8</v>
      </c>
      <c r="C3" s="3" t="inlineStr">
        <is>
          <t>✔️</t>
        </is>
      </c>
      <c r="E3" t="inlineStr">
        <is>
          <t>Fernanda - Oficial Farma</t>
        </is>
      </c>
      <c r="F3" s="1" t="inlineStr">
        <is>
          <t>+5511974257597</t>
        </is>
      </c>
      <c r="G3" s="3" t="inlineStr">
        <is>
          <t>✔️</t>
        </is>
      </c>
    </row>
    <row r="4" ht="15.75" customHeight="1" s="17">
      <c r="A4" t="n">
        <v>9</v>
      </c>
      <c r="C4" s="3" t="inlineStr">
        <is>
          <t>✔️</t>
        </is>
      </c>
      <c r="E4" t="inlineStr">
        <is>
          <t>Kathelen (Grupo OF - Fiscal)</t>
        </is>
      </c>
      <c r="F4" s="1" t="inlineStr">
        <is>
          <t>+5511961408354</t>
        </is>
      </c>
      <c r="G4" s="3" t="inlineStr">
        <is>
          <t>✔️</t>
        </is>
      </c>
    </row>
    <row r="5" ht="15.75" customHeight="1" s="17">
      <c r="A5" t="n">
        <v>11</v>
      </c>
      <c r="C5" s="3" t="inlineStr">
        <is>
          <t>✔️</t>
        </is>
      </c>
    </row>
    <row r="6" ht="15.75" customHeight="1" s="17">
      <c r="A6" t="n">
        <v>12</v>
      </c>
      <c r="C6" s="3" t="inlineStr">
        <is>
          <t>✔️</t>
        </is>
      </c>
    </row>
    <row r="7" ht="15.75" customHeight="1" s="17">
      <c r="A7" t="n">
        <v>13</v>
      </c>
      <c r="C7" s="3" t="inlineStr">
        <is>
          <t>✔️</t>
        </is>
      </c>
    </row>
    <row r="8" ht="15.75" customHeight="1" s="17">
      <c r="A8" t="n">
        <v>14</v>
      </c>
      <c r="C8" s="3" t="inlineStr">
        <is>
          <t>✔️</t>
        </is>
      </c>
    </row>
    <row r="9" ht="15.75" customHeight="1" s="17">
      <c r="A9" t="n">
        <v>15</v>
      </c>
      <c r="C9" s="3" t="inlineStr">
        <is>
          <t>✔️</t>
        </is>
      </c>
    </row>
    <row r="10" ht="15.75" customHeight="1" s="17">
      <c r="A10" t="n">
        <v>16</v>
      </c>
      <c r="C10" s="3" t="inlineStr">
        <is>
          <t>✔️</t>
        </is>
      </c>
    </row>
    <row r="11" ht="15.75" customHeight="1" s="17">
      <c r="A11" t="n">
        <v>18</v>
      </c>
      <c r="C11" s="3" t="inlineStr">
        <is>
          <t>✔️</t>
        </is>
      </c>
    </row>
    <row r="12" ht="15.75" customHeight="1" s="17">
      <c r="A12" t="n">
        <v>66</v>
      </c>
      <c r="C12" s="3" t="inlineStr">
        <is>
          <t>✔️</t>
        </is>
      </c>
    </row>
    <row r="14">
      <c r="A14" t="inlineStr">
        <is>
          <t>7 8 9 11 12 13 14 15 16 18 66</t>
        </is>
      </c>
    </row>
  </sheetData>
  <pageMargins left="0.511811024" right="0.511811024" top="0.787401575" bottom="0.787401575" header="0.31496062" footer="0.31496062"/>
</worksheet>
</file>

<file path=xl/worksheets/sheet4.xml><?xml version="1.0" encoding="utf-8"?>
<worksheet xmlns="http://schemas.openxmlformats.org/spreadsheetml/2006/main">
  <sheetPr>
    <outlinePr summaryBelow="1" summaryRight="1"/>
    <pageSetUpPr/>
  </sheetPr>
  <dimension ref="A1:K29"/>
  <sheetViews>
    <sheetView workbookViewId="0">
      <selection activeCell="F30" sqref="F30"/>
    </sheetView>
  </sheetViews>
  <sheetFormatPr baseColWidth="8" defaultRowHeight="15"/>
  <cols>
    <col width="1.42578125" customWidth="1" style="17" min="4" max="4"/>
    <col width="20" bestFit="1" customWidth="1" style="2" min="9" max="9"/>
    <col width="16.7109375" bestFit="1" customWidth="1" style="17" min="10" max="10"/>
  </cols>
  <sheetData>
    <row r="1">
      <c r="A1" t="inlineStr">
        <is>
          <t>ID Cliente</t>
        </is>
      </c>
      <c r="E1" t="inlineStr">
        <is>
          <t>ID Cliente</t>
        </is>
      </c>
      <c r="I1" s="2" t="inlineStr">
        <is>
          <t>Nome</t>
        </is>
      </c>
      <c r="J1" t="inlineStr">
        <is>
          <t>Telefone</t>
        </is>
      </c>
      <c r="K1" t="inlineStr">
        <is>
          <t>Status</t>
        </is>
      </c>
    </row>
    <row r="2" ht="15.75" customHeight="1" s="17">
      <c r="A2" t="n">
        <v>177</v>
      </c>
      <c r="B2" t="inlineStr">
        <is>
          <t>MATRIZ</t>
        </is>
      </c>
      <c r="C2" s="3" t="inlineStr">
        <is>
          <t>✔️</t>
        </is>
      </c>
      <c r="E2" t="n">
        <v>195</v>
      </c>
      <c r="F2" s="3" t="inlineStr">
        <is>
          <t>✔️</t>
        </is>
      </c>
      <c r="I2" s="2" t="inlineStr">
        <is>
          <t>erica soares jcf</t>
        </is>
      </c>
      <c r="J2" s="4" t="inlineStr">
        <is>
          <t>+5511952480061</t>
        </is>
      </c>
      <c r="K2" s="3" t="inlineStr">
        <is>
          <t>✔️</t>
        </is>
      </c>
    </row>
    <row r="3" ht="15.75" customHeight="1" s="17">
      <c r="A3" t="n">
        <v>178</v>
      </c>
      <c r="C3" s="3" t="inlineStr">
        <is>
          <t>✔️</t>
        </is>
      </c>
      <c r="E3" t="n">
        <v>196</v>
      </c>
      <c r="F3" s="3" t="inlineStr">
        <is>
          <t>✔️</t>
        </is>
      </c>
      <c r="I3" t="inlineStr">
        <is>
          <t>Claudia (Grupo Jogê )</t>
        </is>
      </c>
      <c r="J3" s="1" t="inlineStr">
        <is>
          <t>+55 11 94523-1714</t>
        </is>
      </c>
      <c r="K3" s="3" t="inlineStr">
        <is>
          <t>✔️</t>
        </is>
      </c>
    </row>
    <row r="4" ht="15.75" customHeight="1" s="17">
      <c r="A4" t="n">
        <v>179</v>
      </c>
      <c r="C4" s="3" t="inlineStr">
        <is>
          <t>✔️</t>
        </is>
      </c>
      <c r="E4" t="n">
        <v>197</v>
      </c>
      <c r="F4" s="3" t="inlineStr">
        <is>
          <t>✔️</t>
        </is>
      </c>
      <c r="I4" t="inlineStr">
        <is>
          <t>Elisa (Grupo Jogê)</t>
        </is>
      </c>
      <c r="J4" s="1" t="inlineStr">
        <is>
          <t>+5511959776291</t>
        </is>
      </c>
      <c r="K4" s="3" t="inlineStr">
        <is>
          <t>✔️</t>
        </is>
      </c>
    </row>
    <row r="5" ht="15.75" customHeight="1" s="17">
      <c r="A5" t="n">
        <v>180</v>
      </c>
      <c r="C5" s="3" t="inlineStr">
        <is>
          <t>✔️</t>
        </is>
      </c>
      <c r="E5" t="n">
        <v>198</v>
      </c>
      <c r="F5" s="3" t="inlineStr">
        <is>
          <t>✔️</t>
        </is>
      </c>
    </row>
    <row r="6" ht="15.75" customHeight="1" s="17">
      <c r="A6" t="n">
        <v>181</v>
      </c>
      <c r="C6" s="3" t="inlineStr">
        <is>
          <t>✔️</t>
        </is>
      </c>
      <c r="E6" t="n">
        <v>199</v>
      </c>
      <c r="F6" s="3" t="inlineStr">
        <is>
          <t>✔️</t>
        </is>
      </c>
    </row>
    <row r="7" ht="15.75" customHeight="1" s="17">
      <c r="A7" t="n">
        <v>182</v>
      </c>
      <c r="C7" s="3" t="inlineStr">
        <is>
          <t>✔️</t>
        </is>
      </c>
      <c r="E7" t="n">
        <v>200</v>
      </c>
      <c r="F7" s="3" t="inlineStr">
        <is>
          <t>✔️</t>
        </is>
      </c>
    </row>
    <row r="8" ht="15.75" customHeight="1" s="17">
      <c r="A8" t="n">
        <v>183</v>
      </c>
      <c r="C8" s="3" t="inlineStr">
        <is>
          <t>✔️</t>
        </is>
      </c>
      <c r="E8" t="n">
        <v>201</v>
      </c>
      <c r="F8" s="3" t="inlineStr">
        <is>
          <t>✔️</t>
        </is>
      </c>
    </row>
    <row r="9" ht="15.75" customHeight="1" s="17">
      <c r="A9" t="n">
        <v>184</v>
      </c>
      <c r="C9" s="3" t="inlineStr">
        <is>
          <t>✔️</t>
        </is>
      </c>
      <c r="E9" t="n">
        <v>202</v>
      </c>
      <c r="F9" s="3" t="inlineStr">
        <is>
          <t>✔️</t>
        </is>
      </c>
    </row>
    <row r="10" ht="15.75" customHeight="1" s="17">
      <c r="A10" t="n">
        <v>185</v>
      </c>
      <c r="C10" s="3" t="inlineStr">
        <is>
          <t>✔️</t>
        </is>
      </c>
      <c r="E10" t="n">
        <v>203</v>
      </c>
      <c r="F10" s="3" t="inlineStr">
        <is>
          <t>✔️</t>
        </is>
      </c>
    </row>
    <row r="11" ht="15.75" customHeight="1" s="17">
      <c r="A11" t="n">
        <v>186</v>
      </c>
      <c r="C11" s="3" t="inlineStr">
        <is>
          <t>✔️</t>
        </is>
      </c>
      <c r="E11" t="n">
        <v>211</v>
      </c>
      <c r="G11" s="3" t="inlineStr">
        <is>
          <t>✔️</t>
        </is>
      </c>
    </row>
    <row r="12" ht="15.75" customHeight="1" s="17">
      <c r="A12" t="n">
        <v>187</v>
      </c>
      <c r="C12" s="3" t="inlineStr">
        <is>
          <t>✔️</t>
        </is>
      </c>
      <c r="E12" t="n">
        <v>254</v>
      </c>
      <c r="G12" s="3" t="inlineStr">
        <is>
          <t>✔️</t>
        </is>
      </c>
    </row>
    <row r="13" ht="15.75" customHeight="1" s="17">
      <c r="A13" t="n">
        <v>188</v>
      </c>
      <c r="C13" s="3" t="inlineStr">
        <is>
          <t>✔️</t>
        </is>
      </c>
      <c r="E13" t="n">
        <v>255</v>
      </c>
      <c r="G13" s="3" t="inlineStr">
        <is>
          <t>✔️</t>
        </is>
      </c>
    </row>
    <row r="14" ht="15.75" customHeight="1" s="17">
      <c r="A14" t="n">
        <v>189</v>
      </c>
      <c r="C14" s="3" t="inlineStr">
        <is>
          <t>✔️</t>
        </is>
      </c>
      <c r="I14" s="5" t="n"/>
    </row>
    <row r="15" ht="15.75" customHeight="1" s="17">
      <c r="A15" t="n">
        <v>190</v>
      </c>
      <c r="C15" s="3" t="inlineStr">
        <is>
          <t>✔️</t>
        </is>
      </c>
      <c r="E15" t="inlineStr">
        <is>
          <t>177 178 179 180 181 182 183 184 185 186 187 188 189 190 191 192 193 194 195 196 197 198 199 200 201 202 203 211 216 220 221 222 254 255</t>
        </is>
      </c>
      <c r="I15" s="5" t="n"/>
    </row>
    <row r="16" ht="15.75" customHeight="1" s="17">
      <c r="A16" t="n">
        <v>191</v>
      </c>
      <c r="C16" s="3" t="inlineStr">
        <is>
          <t>✔️</t>
        </is>
      </c>
      <c r="I16" s="5" t="n"/>
    </row>
    <row r="17" ht="15.75" customHeight="1" s="17">
      <c r="A17" t="n">
        <v>192</v>
      </c>
      <c r="C17" s="3" t="inlineStr">
        <is>
          <t>✔️</t>
        </is>
      </c>
      <c r="I17" s="5" t="n"/>
    </row>
    <row r="18" ht="15.75" customHeight="1" s="17">
      <c r="A18" t="n">
        <v>193</v>
      </c>
      <c r="C18" s="3" t="inlineStr">
        <is>
          <t>✔️</t>
        </is>
      </c>
      <c r="I18" s="5" t="n"/>
    </row>
    <row r="19" ht="15.75" customHeight="1" s="17">
      <c r="A19" t="n">
        <v>194</v>
      </c>
      <c r="C19" s="3" t="inlineStr">
        <is>
          <t>✔️</t>
        </is>
      </c>
      <c r="I19" s="5" t="n"/>
    </row>
    <row r="20" ht="15.75" customHeight="1" s="17">
      <c r="A20" t="n">
        <v>195</v>
      </c>
      <c r="C20" s="3" t="inlineStr">
        <is>
          <t>✔️</t>
        </is>
      </c>
      <c r="I20" s="5" t="n"/>
    </row>
    <row r="21" ht="15.75" customHeight="1" s="17">
      <c r="A21" t="n">
        <v>216</v>
      </c>
      <c r="C21" s="3" t="inlineStr">
        <is>
          <t>✔️</t>
        </is>
      </c>
      <c r="I21" s="5" t="n"/>
    </row>
    <row r="22" ht="15.75" customHeight="1" s="17">
      <c r="A22" t="n">
        <v>220</v>
      </c>
      <c r="C22" s="3" t="inlineStr">
        <is>
          <t>✔️</t>
        </is>
      </c>
      <c r="I22" s="5" t="n"/>
    </row>
    <row r="23" ht="15.75" customHeight="1" s="17">
      <c r="A23" t="n">
        <v>221</v>
      </c>
      <c r="C23" s="3" t="inlineStr">
        <is>
          <t>✔️</t>
        </is>
      </c>
      <c r="I23" s="5" t="n"/>
    </row>
    <row r="24" ht="15.75" customHeight="1" s="17">
      <c r="A24" t="n">
        <v>222</v>
      </c>
      <c r="C24" s="3" t="inlineStr">
        <is>
          <t>✔️</t>
        </is>
      </c>
      <c r="I24" s="5" t="n"/>
    </row>
    <row r="26">
      <c r="E26" s="4" t="n"/>
    </row>
    <row r="29">
      <c r="E29" s="1" t="n"/>
    </row>
  </sheetData>
  <pageMargins left="0.511811024" right="0.511811024" top="0.787401575" bottom="0.787401575" header="0.31496062" footer="0.31496062"/>
  <pageSetup orientation="portrait" paperSize="9" horizontalDpi="10" verticalDpi="150"/>
</worksheet>
</file>

<file path=xl/worksheets/sheet5.xml><?xml version="1.0" encoding="utf-8"?>
<worksheet xmlns="http://schemas.openxmlformats.org/spreadsheetml/2006/main">
  <sheetPr>
    <outlinePr summaryBelow="1" summaryRight="1"/>
    <pageSetUpPr/>
  </sheetPr>
  <dimension ref="A1:H14"/>
  <sheetViews>
    <sheetView workbookViewId="0">
      <selection activeCell="H7" sqref="H7"/>
    </sheetView>
  </sheetViews>
  <sheetFormatPr baseColWidth="8" defaultRowHeight="15"/>
  <cols>
    <col width="7.7109375" customWidth="1" style="17" min="1" max="1"/>
    <col width="11" bestFit="1" customWidth="1" style="17" min="2" max="2"/>
    <col width="27.42578125" bestFit="1" customWidth="1" style="17" min="5" max="5"/>
    <col width="17.28515625" bestFit="1" customWidth="1" style="17" min="6" max="6"/>
    <col width="32.140625" bestFit="1" customWidth="1" style="17" min="7" max="7"/>
  </cols>
  <sheetData>
    <row r="1">
      <c r="A1" t="inlineStr">
        <is>
          <t>ID Cliente</t>
        </is>
      </c>
      <c r="B1" t="inlineStr">
        <is>
          <t>APELIDO</t>
        </is>
      </c>
      <c r="E1" t="inlineStr">
        <is>
          <t>Nome</t>
        </is>
      </c>
      <c r="F1" t="inlineStr">
        <is>
          <t>Telefone</t>
        </is>
      </c>
      <c r="G1" t="inlineStr">
        <is>
          <t>Status</t>
        </is>
      </c>
    </row>
    <row r="2" ht="15.75" customHeight="1" s="17">
      <c r="A2" t="n">
        <v>301</v>
      </c>
      <c r="B2" t="inlineStr">
        <is>
          <t>FASTCO</t>
        </is>
      </c>
      <c r="C2" s="3" t="n"/>
      <c r="E2" s="1" t="inlineStr">
        <is>
          <t>ASTRO 34</t>
        </is>
      </c>
      <c r="F2" s="1" t="inlineStr">
        <is>
          <t>+55 11 97351-6525</t>
        </is>
      </c>
      <c r="G2" t="inlineStr">
        <is>
          <t>301 302 312 313 314 315 316 317 318</t>
        </is>
      </c>
      <c r="H2" t="inlineStr">
        <is>
          <t>Não cadastrado em 331 e 352</t>
        </is>
      </c>
    </row>
    <row r="3" ht="15.75" customHeight="1" s="17">
      <c r="A3" t="n">
        <v>302</v>
      </c>
      <c r="B3" t="inlineStr">
        <is>
          <t>LILATUR</t>
        </is>
      </c>
      <c r="C3" s="3" t="n"/>
      <c r="E3" s="2" t="inlineStr">
        <is>
          <t>Tuta Aquino</t>
        </is>
      </c>
      <c r="F3" s="1" t="inlineStr">
        <is>
          <t>+5511991164884</t>
        </is>
      </c>
      <c r="G3" t="inlineStr">
        <is>
          <t>não cadastrado</t>
        </is>
      </c>
    </row>
    <row r="4" ht="15.75" customHeight="1" s="17">
      <c r="A4" t="n">
        <v>312</v>
      </c>
      <c r="B4" t="inlineStr">
        <is>
          <t>SPECTRAL SOLUTIONS</t>
        </is>
      </c>
      <c r="C4" s="3" t="n"/>
      <c r="E4" s="2" t="inlineStr">
        <is>
          <t>Ricardo (Astro 34)</t>
        </is>
      </c>
      <c r="F4" s="1" t="inlineStr">
        <is>
          <t>+5511955933176</t>
        </is>
      </c>
      <c r="G4" t="inlineStr">
        <is>
          <t>301 302 312 313 314 315 316 317 318</t>
        </is>
      </c>
      <c r="H4" t="inlineStr">
        <is>
          <t>Não cadastrado em 331 e 352</t>
        </is>
      </c>
    </row>
    <row r="5" ht="15.75" customHeight="1" s="17">
      <c r="A5" t="n">
        <v>313</v>
      </c>
      <c r="B5" t="inlineStr">
        <is>
          <t>ASTRO34</t>
        </is>
      </c>
      <c r="C5" s="3" t="n"/>
      <c r="E5" s="1" t="inlineStr">
        <is>
          <t>Astro34 - Lucimar (compras)</t>
        </is>
      </c>
      <c r="F5" s="1" t="inlineStr">
        <is>
          <t>+55 11 94467-7687</t>
        </is>
      </c>
      <c r="G5" t="inlineStr">
        <is>
          <t>não cadastrado</t>
        </is>
      </c>
    </row>
    <row r="6" ht="15.75" customHeight="1" s="17">
      <c r="A6" t="n">
        <v>314</v>
      </c>
      <c r="B6" t="inlineStr">
        <is>
          <t>SPECTRAL SOLUTIONS 2</t>
        </is>
      </c>
      <c r="C6" s="3" t="n"/>
      <c r="E6" s="2" t="inlineStr">
        <is>
          <t>Patrícia (Astro 34)</t>
        </is>
      </c>
      <c r="F6" s="1" t="inlineStr">
        <is>
          <t>+5511960570644</t>
        </is>
      </c>
      <c r="G6" t="inlineStr">
        <is>
          <t>não cadastrado</t>
        </is>
      </c>
    </row>
    <row r="7" ht="15.75" customHeight="1" s="17">
      <c r="A7" t="n">
        <v>315</v>
      </c>
      <c r="B7" t="inlineStr">
        <is>
          <t>SPECTRAL VISION</t>
        </is>
      </c>
      <c r="C7" s="3" t="n"/>
      <c r="E7" s="2" t="inlineStr">
        <is>
          <t>LILATUR Viagens Exclusivas</t>
        </is>
      </c>
      <c r="F7" s="1" t="inlineStr">
        <is>
          <t>+5511998261422</t>
        </is>
      </c>
      <c r="G7" t="inlineStr">
        <is>
          <t>302 352</t>
        </is>
      </c>
      <c r="H7" t="inlineStr">
        <is>
          <t>Não cadastrado em 301 312 313 314 315 316 317 318 331</t>
        </is>
      </c>
    </row>
    <row r="8" ht="15.75" customHeight="1" s="17">
      <c r="A8" t="n">
        <v>316</v>
      </c>
      <c r="B8" t="inlineStr">
        <is>
          <t>DMA</t>
        </is>
      </c>
      <c r="C8" s="3" t="n"/>
      <c r="E8" s="2" t="inlineStr">
        <is>
          <t>Junior cont. ant. Lilian Lilatur</t>
        </is>
      </c>
      <c r="F8" s="1" t="inlineStr">
        <is>
          <t>+5511974386889</t>
        </is>
      </c>
      <c r="G8" t="inlineStr">
        <is>
          <t>não cadastrado</t>
        </is>
      </c>
    </row>
    <row r="9" ht="15.75" customHeight="1" s="17">
      <c r="A9" t="n">
        <v>317</v>
      </c>
      <c r="B9" t="inlineStr">
        <is>
          <t>FUTURO RH</t>
        </is>
      </c>
      <c r="C9" s="3" t="n"/>
    </row>
    <row r="10" ht="15.75" customHeight="1" s="17">
      <c r="A10" t="n">
        <v>318</v>
      </c>
      <c r="B10" t="inlineStr">
        <is>
          <t>SPECTRAL ADVANCED</t>
        </is>
      </c>
      <c r="C10" s="3" t="n"/>
    </row>
    <row r="11">
      <c r="A11" t="n">
        <v>331</v>
      </c>
      <c r="B11" t="inlineStr">
        <is>
          <t>SPECTRAL SOLUTIONS 3</t>
        </is>
      </c>
    </row>
    <row r="12">
      <c r="A12" t="n">
        <v>352</v>
      </c>
      <c r="B12" t="inlineStr">
        <is>
          <t>LILIAN CRISTIANE CLA</t>
        </is>
      </c>
    </row>
    <row r="14">
      <c r="A14" t="inlineStr">
        <is>
          <t>301 302 312 313 314 315 316 317 318 331 352</t>
        </is>
      </c>
    </row>
  </sheetData>
  <conditionalFormatting sqref="E2:F8">
    <cfRule type="expression" priority="1" dxfId="4">
      <formula>$C2="TAXBASE"</formula>
    </cfRule>
    <cfRule type="expression" priority="2" dxfId="3">
      <formula>$C2="Contato não cadastrado na empresa"</formula>
    </cfRule>
    <cfRule type="expression" priority="3" dxfId="2">
      <formula>$C2="Cliente não identificado"</formula>
    </cfRule>
    <cfRule type="expression" priority="4" dxfId="1">
      <formula>$C2="Usuario inativo ou não registrado"</formula>
    </cfRule>
    <cfRule type="expression" priority="5" dxfId="0">
      <formula>$C2="Cadastrado"</formula>
    </cfRule>
  </conditionalFormatting>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2026-01-20T17:32:22Z</dcterms:created>
  <dcterms:modified xsi:type="dcterms:W3CDTF">2026-02-12T20:01:44Z</dcterms:modified>
  <cp:lastModifiedBy>User</cp:lastModifiedBy>
</cp:coreProperties>
</file>